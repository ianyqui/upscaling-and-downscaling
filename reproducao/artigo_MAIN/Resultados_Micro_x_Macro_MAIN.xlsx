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1 média" sheetId="3" state="visible" r:id="rId5"/>
    <sheet name="P1 desvio" sheetId="4" state="visible" r:id="rId6"/>
    <sheet name="P2 média" sheetId="5" state="visible" r:id="rId7"/>
    <sheet name="P2 desvio" sheetId="6" state="visible" r:id="rId8"/>
    <sheet name="P3 média" sheetId="7" state="visible" r:id="rId9"/>
    <sheet name="P3 desv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<sst xmlns="http://schemas.openxmlformats.org/spreadsheetml/2006/main" count="214" uniqueCount="45">
  <si>
    <t xml:space="preserve">Resultados numéricos: micromalha (15 × 15) × macromalha (5 × 5) — artigo MAIN, Seção 5.7</t>
  </si>
  <si>
    <t xml:space="preserve">Referência (Fina): média e desvio-padrão da pressão das 1000 soluções na micromalha, com média nas 3 × 3 células finas de cada célula grossa.</t>
  </si>
  <si>
    <t xml:space="preserve">Ensembles grossos (macromalha, 5 × 5, TPFA com tensor diagonal):</t>
  </si>
  <si>
    <t xml:space="preserve">  Sem compressão: tensores equivalentes de cada uma das 1000 realizações (isola o erro do upscaling).</t>
  </si>
  <si>
    <t xml:space="preserve">  DA 25 indep.: execução de produção, 25 realizações grossas amostradas célula a célula de forma independente.</t>
  </si>
  <si>
    <t xml:space="preserve">  DA 1000 indep.: 1000 realizações amostradas da mesma forma.</t>
  </si>
  <si>
    <t xml:space="preserve">  DA 1000 cópula: 1000 realizações amostradas dos mesmos valores representativos com cópula gaussiana (Kxx e Kyy de todas as células).</t>
  </si>
  <si>
    <t xml:space="preserve">Erro absoluto = grosso − fino (unidades da queda de pressão imposta, que vale 1). Erro relativo = |erro| / |fino|.</t>
  </si>
  <si>
    <t xml:space="preserve">Macrocélula (i, j), como nos eixos das Figuras 7 e 8: i = índice na direção x (i = 0 à esquerda), j = índice na direção y (j = 0 embaixo); centro em x = 3i + 1,5 m, y = 3j + 1,5 m.</t>
  </si>
  <si>
    <t xml:space="preserve">Problema 1: u = 1 à esquerda, u = 0 à direita, sem fluxo em cima e embaixo. Problema 2: u = 1 embaixo, u = 0 à esquerda, sem fluxo à direita e em cima. Problema 3: u = 1 à esquerda, u = 0 nas outras três faces.</t>
  </si>
  <si>
    <t xml:space="preserve">Os valores dos campos (colunas azuis) vêm de main_flow.py (arquivo main_flow_fields.pkl); os erros e o resumo são fórmulas e se recalculam.</t>
  </si>
  <si>
    <t xml:space="preserve">O piso amostral (duas metades de 500 realizações finas comparadas entre si) está na aba Resumo, copiado de main_flow.json.</t>
  </si>
  <si>
    <t xml:space="preserve">Problema</t>
  </si>
  <si>
    <t xml:space="preserve">Estatística</t>
  </si>
  <si>
    <t xml:space="preserve">Ensemble grosso</t>
  </si>
  <si>
    <t xml:space="preserve">Erro abs. máx.</t>
  </si>
  <si>
    <t xml:space="preserve">Erro abs. médio</t>
  </si>
  <si>
    <t xml:space="preserve">Erro rel. máx.</t>
  </si>
  <si>
    <t xml:space="preserve">Erro rel. médio</t>
  </si>
  <si>
    <t xml:space="preserve">Erro L2 relativo</t>
  </si>
  <si>
    <t xml:space="preserve">R2</t>
  </si>
  <si>
    <t xml:space="preserve">P1</t>
  </si>
  <si>
    <t xml:space="preserve">média</t>
  </si>
  <si>
    <t xml:space="preserve">Sem compressão</t>
  </si>
  <si>
    <t xml:space="preserve">DA 25 indep.</t>
  </si>
  <si>
    <t xml:space="preserve">DA 1000 indep.</t>
  </si>
  <si>
    <t xml:space="preserve">DA 1000 cópula</t>
  </si>
  <si>
    <t xml:space="preserve">Piso: fina × fina (500/500)</t>
  </si>
  <si>
    <t xml:space="preserve">desvio</t>
  </si>
  <si>
    <t xml:space="preserve">P2</t>
  </si>
  <si>
    <t xml:space="preserve">P3</t>
  </si>
  <si>
    <t xml:space="preserve">Linhas 'Piso' em azul itálico: valores fixos copiados de main_flow.json (comparação entre duas metades independentes do ensemble fino); demais linhas são fórmulas sobre as abas por problema.</t>
  </si>
  <si>
    <t xml:space="preserve">i</t>
  </si>
  <si>
    <t xml:space="preserve">j</t>
  </si>
  <si>
    <t xml:space="preserve">x (m)</t>
  </si>
  <si>
    <t xml:space="preserve">y (m)</t>
  </si>
  <si>
    <t xml:space="preserve">Fina</t>
  </si>
  <si>
    <t xml:space="preserve">Erro abs. Sem compressão</t>
  </si>
  <si>
    <t xml:space="preserve">Erro abs. DA 25 indep.</t>
  </si>
  <si>
    <t xml:space="preserve">Erro abs. DA 1000 indep.</t>
  </si>
  <si>
    <t xml:space="preserve">Erro abs. DA 1000 cópula</t>
  </si>
  <si>
    <t xml:space="preserve">Erro rel. Sem compressão</t>
  </si>
  <si>
    <t xml:space="preserve">Erro rel. DA 25 indep.</t>
  </si>
  <si>
    <t xml:space="preserve">Erro rel. DA 1000 indep.</t>
  </si>
  <si>
    <t xml:space="preserve">Erro rel. DA 1000 cópula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</si>
</sst>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"/>
    <numFmt numFmtId="166" formatCode="0.0%"/>
    <numFmt numFmtId="167" formatCode="0.00%"/>
    <numFmt numFmtId="168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23.8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4" t="n">
        <f aca="false">MAX(MAX('P1 média'!J2:J26),-MIN('P1 média'!J2:J26))</f>
        <v>0.0044386394514091</v>
      </c>
      <c r="E2" s="4" t="n">
        <f aca="false">SUMPRODUCT(ABS('P1 média'!J2:J26))/25</f>
        <v>0.00219585891064904</v>
      </c>
      <c r="F2" s="5" t="n">
        <f aca="false">MAX('P1 média'!N2:N26)</f>
        <v>0.0395978973065974</v>
      </c>
      <c r="G2" s="5" t="n">
        <f aca="false">AVERAGE('P1 média'!N2:N26)</f>
        <v>0.00910622652325409</v>
      </c>
      <c r="H2" s="6" t="n">
        <f aca="false">SQRT(SUMSQ('P1 média'!J2:J26))/SQRT(SUMSQ('P1 média'!$E$2:$E$26))</f>
        <v>0.00435244799836722</v>
      </c>
      <c r="I2" s="7" t="n">
        <f aca="false">1-SUMSQ('P1 média'!J2:J26)/DEVSQ('P1 média'!$E$2:$E$26)</f>
        <v>0.999922301140056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24</v>
      </c>
      <c r="D3" s="4" t="n">
        <f aca="false">MAX(MAX('P1 média'!K2:K26),-MIN('P1 média'!K2:K26))</f>
        <v>0.0189876726534514</v>
      </c>
      <c r="E3" s="4" t="n">
        <f aca="false">SUMPRODUCT(ABS('P1 média'!K2:K26))/25</f>
        <v>0.00602636321955656</v>
      </c>
      <c r="F3" s="5" t="n">
        <f aca="false">MAX('P1 média'!O2:O26)</f>
        <v>0.0387444236423971</v>
      </c>
      <c r="G3" s="5" t="n">
        <f aca="false">AVERAGE('P1 média'!O2:O26)</f>
        <v>0.0149446938745374</v>
      </c>
      <c r="H3" s="6" t="n">
        <f aca="false">SQRT(SUMSQ('P1 média'!K2:K26))/SQRT(SUMSQ('P1 média'!$E$2:$E$26))</f>
        <v>0.0139896418774541</v>
      </c>
      <c r="I3" s="7" t="n">
        <f aca="false">1-SUMSQ('P1 média'!K2:K26)/DEVSQ('P1 média'!$E$2:$E$26)</f>
        <v>0.999197286330511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25</v>
      </c>
      <c r="D4" s="4" t="n">
        <f aca="false">MAX(MAX('P1 média'!L2:L26),-MIN('P1 média'!L2:L26))</f>
        <v>0.0103526254959833</v>
      </c>
      <c r="E4" s="4" t="n">
        <f aca="false">SUMPRODUCT(ABS('P1 média'!L2:L26))/25</f>
        <v>0.00630582762556987</v>
      </c>
      <c r="F4" s="5" t="n">
        <f aca="false">MAX('P1 média'!P2:P26)</f>
        <v>0.0999189971821865</v>
      </c>
      <c r="G4" s="5" t="n">
        <f aca="false">AVERAGE('P1 média'!P2:P26)</f>
        <v>0.0258044016798618</v>
      </c>
      <c r="H4" s="6" t="n">
        <f aca="false">SQRT(SUMSQ('P1 média'!L2:L26))/SQRT(SUMSQ('P1 média'!$E$2:$E$26))</f>
        <v>0.0119835450161503</v>
      </c>
      <c r="I4" s="7" t="n">
        <f aca="false">1-SUMSQ('P1 média'!L2:L26)/DEVSQ('P1 média'!$E$2:$E$26)</f>
        <v>0.99941099621202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26</v>
      </c>
      <c r="D5" s="4" t="n">
        <f aca="false">MAX(MAX('P1 média'!M2:M26),-MIN('P1 média'!M2:M26))</f>
        <v>0.00809222290919953</v>
      </c>
      <c r="E5" s="4" t="n">
        <f aca="false">SUMPRODUCT(ABS('P1 média'!M2:M26))/25</f>
        <v>0.00406693666990706</v>
      </c>
      <c r="F5" s="5" t="n">
        <f aca="false">MAX('P1 média'!Q2:Q26)</f>
        <v>0.0672485902752172</v>
      </c>
      <c r="G5" s="5" t="n">
        <f aca="false">AVERAGE('P1 média'!Q2:Q26)</f>
        <v>0.0168139404321003</v>
      </c>
      <c r="H5" s="6" t="n">
        <f aca="false">SQRT(SUMSQ('P1 média'!M2:M26))/SQRT(SUMSQ('P1 média'!$E$2:$E$26))</f>
        <v>0.0082174315045583</v>
      </c>
      <c r="I5" s="7" t="n">
        <f aca="false">1-SUMSQ('P1 média'!M2:M26)/DEVSQ('P1 média'!$E$2:$E$26)</f>
        <v>0.999723038342223</v>
      </c>
    </row>
    <row r="6" customFormat="false" ht="15" hidden="false" customHeight="false" outlineLevel="0" collapsed="false">
      <c r="A6" s="8" t="s">
        <v>21</v>
      </c>
      <c r="B6" s="8" t="s">
        <v>22</v>
      </c>
      <c r="C6" s="8" t="s">
        <v>27</v>
      </c>
      <c r="D6" s="9" t="n">
        <v>0.00706533637179746</v>
      </c>
      <c r="E6" s="9" t="n">
        <v>0.00195083081660992</v>
      </c>
      <c r="F6" s="10" t="n">
        <v>0.0298167852463447</v>
      </c>
      <c r="G6" s="10" t="n">
        <v>0.00678094212402444</v>
      </c>
      <c r="H6" s="11" t="n">
        <v>0.00439544714541255</v>
      </c>
      <c r="I6" s="12" t="n">
        <v>0.999920887069516</v>
      </c>
    </row>
    <row r="7" customFormat="false" ht="15" hidden="false" customHeight="false" outlineLevel="0" collapsed="false">
      <c r="A7" s="2" t="s">
        <v>21</v>
      </c>
      <c r="B7" s="2" t="s">
        <v>28</v>
      </c>
      <c r="C7" s="2" t="s">
        <v>23</v>
      </c>
      <c r="D7" s="4" t="n">
        <f aca="false">MAX(MAX('P1 desvio'!J2:J26),-MIN('P1 desvio'!J2:J26))</f>
        <v>0.0093014777329082</v>
      </c>
      <c r="E7" s="4" t="n">
        <f aca="false">SUMPRODUCT(ABS('P1 desvio'!J2:J26))/25</f>
        <v>0.00723852340278296</v>
      </c>
      <c r="F7" s="5" t="n">
        <f aca="false">MAX('P1 desvio'!N2:N26)</f>
        <v>0.138933741403943</v>
      </c>
      <c r="G7" s="5" t="n">
        <f aca="false">AVERAGE('P1 desvio'!N2:N26)</f>
        <v>0.0897607188437142</v>
      </c>
      <c r="H7" s="6" t="n">
        <f aca="false">SQRT(SUMSQ('P1 desvio'!J2:J26))/SQRT(SUMSQ('P1 desvio'!$E$2:$E$26))</f>
        <v>0.0764951448511228</v>
      </c>
      <c r="I7" s="7" t="n">
        <f aca="false">1-SUMSQ('P1 desvio'!J2:J26)/DEVSQ('P1 desvio'!$E$2:$E$26)</f>
        <v>0.948845163600545</v>
      </c>
    </row>
    <row r="8" customFormat="false" ht="15" hidden="false" customHeight="false" outlineLevel="0" collapsed="false">
      <c r="A8" s="2" t="s">
        <v>21</v>
      </c>
      <c r="B8" s="2" t="s">
        <v>28</v>
      </c>
      <c r="C8" s="2" t="s">
        <v>24</v>
      </c>
      <c r="D8" s="4" t="n">
        <f aca="false">MAX(MAX('P1 desvio'!K2:K26),-MIN('P1 desvio'!K2:K26))</f>
        <v>0.0523382756124932</v>
      </c>
      <c r="E8" s="4" t="n">
        <f aca="false">SUMPRODUCT(ABS('P1 desvio'!K2:K26))/25</f>
        <v>0.0303400359953987</v>
      </c>
      <c r="F8" s="5" t="n">
        <f aca="false">MAX('P1 desvio'!O2:O26)</f>
        <v>0.421179065088676</v>
      </c>
      <c r="G8" s="5" t="n">
        <f aca="false">AVERAGE('P1 desvio'!O2:O26)</f>
        <v>0.331624630183414</v>
      </c>
      <c r="H8" s="6" t="n">
        <f aca="false">SQRT(SUMSQ('P1 desvio'!K2:K26))/SQRT(SUMSQ('P1 desvio'!$E$2:$E$26))</f>
        <v>0.345900353809869</v>
      </c>
      <c r="I8" s="7" t="n">
        <f aca="false">1-SUMSQ('P1 desvio'!K2:K26)/DEVSQ('P1 desvio'!$E$2:$E$26)</f>
        <v>-0.0459741939785323</v>
      </c>
    </row>
    <row r="9" customFormat="false" ht="15" hidden="false" customHeight="false" outlineLevel="0" collapsed="false">
      <c r="A9" s="2" t="s">
        <v>21</v>
      </c>
      <c r="B9" s="2" t="s">
        <v>28</v>
      </c>
      <c r="C9" s="2" t="s">
        <v>25</v>
      </c>
      <c r="D9" s="4" t="n">
        <f aca="false">MAX(MAX('P1 desvio'!L2:L26),-MIN('P1 desvio'!L2:L26))</f>
        <v>0.049549652764473</v>
      </c>
      <c r="E9" s="4" t="n">
        <f aca="false">SUMPRODUCT(ABS('P1 desvio'!L2:L26))/25</f>
        <v>0.0296341839617525</v>
      </c>
      <c r="F9" s="5" t="n">
        <f aca="false">MAX('P1 desvio'!P2:P26)</f>
        <v>0.397997604978431</v>
      </c>
      <c r="G9" s="5" t="n">
        <f aca="false">AVERAGE('P1 desvio'!P2:P26)</f>
        <v>0.318034991911813</v>
      </c>
      <c r="H9" s="6" t="n">
        <f aca="false">SQRT(SUMSQ('P1 desvio'!L2:L26))/SQRT(SUMSQ('P1 desvio'!$E$2:$E$26))</f>
        <v>0.339131020894881</v>
      </c>
      <c r="I9" s="7" t="n">
        <f aca="false">1-SUMSQ('P1 desvio'!L2:L26)/DEVSQ('P1 desvio'!$E$2:$E$26)</f>
        <v>-0.0054349828449245</v>
      </c>
    </row>
    <row r="10" customFormat="false" ht="15" hidden="false" customHeight="false" outlineLevel="0" collapsed="false">
      <c r="A10" s="2" t="s">
        <v>21</v>
      </c>
      <c r="B10" s="2" t="s">
        <v>28</v>
      </c>
      <c r="C10" s="2" t="s">
        <v>26</v>
      </c>
      <c r="D10" s="4" t="n">
        <f aca="false">MAX(MAX('P1 desvio'!M2:M26),-MIN('P1 desvio'!M2:M26))</f>
        <v>0.0139333194228568</v>
      </c>
      <c r="E10" s="4" t="n">
        <f aca="false">SUMPRODUCT(ABS('P1 desvio'!M2:M26))/25</f>
        <v>0.00797425137408237</v>
      </c>
      <c r="F10" s="5" t="n">
        <f aca="false">MAX('P1 desvio'!Q2:Q26)</f>
        <v>0.185929422605572</v>
      </c>
      <c r="G10" s="5" t="n">
        <f aca="false">AVERAGE('P1 desvio'!Q2:Q26)</f>
        <v>0.0962283706362917</v>
      </c>
      <c r="H10" s="6" t="n">
        <f aca="false">SQRT(SUMSQ('P1 desvio'!M2:M26))/SQRT(SUMSQ('P1 desvio'!$E$2:$E$26))</f>
        <v>0.0887977956467307</v>
      </c>
      <c r="I10" s="7" t="n">
        <f aca="false">1-SUMSQ('P1 desvio'!M2:M26)/DEVSQ('P1 desvio'!$E$2:$E$26)</f>
        <v>0.931067611503928</v>
      </c>
    </row>
    <row r="11" customFormat="false" ht="15" hidden="false" customHeight="false" outlineLevel="0" collapsed="false">
      <c r="A11" s="8" t="s">
        <v>21</v>
      </c>
      <c r="B11" s="8" t="s">
        <v>28</v>
      </c>
      <c r="C11" s="8" t="s">
        <v>27</v>
      </c>
      <c r="D11" s="9" t="n">
        <v>0.00682409621775285</v>
      </c>
      <c r="E11" s="9" t="n">
        <v>0.00237332576293811</v>
      </c>
      <c r="F11" s="10" t="n">
        <v>0.0741121630793066</v>
      </c>
      <c r="G11" s="10" t="n">
        <v>0.0276213713907097</v>
      </c>
      <c r="H11" s="11" t="n">
        <v>0.0326014515772023</v>
      </c>
      <c r="I11" s="12" t="n">
        <v>0.990449802415726</v>
      </c>
    </row>
    <row r="12" customFormat="false" ht="15" hidden="false" customHeight="false" outlineLevel="0" collapsed="false">
      <c r="A12" s="2" t="s">
        <v>29</v>
      </c>
      <c r="B12" s="2" t="s">
        <v>22</v>
      </c>
      <c r="C12" s="2" t="s">
        <v>23</v>
      </c>
      <c r="D12" s="4" t="n">
        <f aca="false">MAX(MAX('P2 média'!J2:J26),-MIN('P2 média'!J2:J26))</f>
        <v>0.0149522153369623</v>
      </c>
      <c r="E12" s="4" t="n">
        <f aca="false">SUMPRODUCT(ABS('P2 média'!J2:J26))/25</f>
        <v>0.00217801644896525</v>
      </c>
      <c r="F12" s="5" t="n">
        <f aca="false">MAX('P2 média'!N2:N26)</f>
        <v>0.0641375977511338</v>
      </c>
      <c r="G12" s="5" t="n">
        <f aca="false">AVERAGE('P2 média'!N2:N26)</f>
        <v>0.00678883963134553</v>
      </c>
      <c r="H12" s="6" t="n">
        <f aca="false">SQRT(SUMSQ('P2 média'!J2:J26))/SQRT(SUMSQ('P2 média'!$E$2:$E$26))</f>
        <v>0.00766653993567423</v>
      </c>
      <c r="I12" s="7" t="n">
        <f aca="false">1-SUMSQ('P2 média'!J2:J26)/DEVSQ('P2 média'!$E$2:$E$26)</f>
        <v>0.999689775987011</v>
      </c>
    </row>
    <row r="13" customFormat="false" ht="15" hidden="false" customHeight="false" outlineLevel="0" collapsed="false">
      <c r="A13" s="2" t="s">
        <v>29</v>
      </c>
      <c r="B13" s="2" t="s">
        <v>22</v>
      </c>
      <c r="C13" s="2" t="s">
        <v>24</v>
      </c>
      <c r="D13" s="4" t="n">
        <f aca="false">MAX(MAX('P2 média'!K2:K26),-MIN('P2 média'!K2:K26))</f>
        <v>0.0302729571346964</v>
      </c>
      <c r="E13" s="4" t="n">
        <f aca="false">SUMPRODUCT(ABS('P2 média'!K2:K26))/25</f>
        <v>0.00722977855466692</v>
      </c>
      <c r="F13" s="5" t="n">
        <f aca="false">MAX('P2 média'!O2:O26)</f>
        <v>0.143192790679059</v>
      </c>
      <c r="G13" s="5" t="n">
        <f aca="false">AVERAGE('P2 média'!O2:O26)</f>
        <v>0.0242293531115883</v>
      </c>
      <c r="H13" s="6" t="n">
        <f aca="false">SQRT(SUMSQ('P2 média'!K2:K26))/SQRT(SUMSQ('P2 média'!$E$2:$E$26))</f>
        <v>0.0207955668464923</v>
      </c>
      <c r="I13" s="7" t="n">
        <f aca="false">1-SUMSQ('P2 média'!K2:K26)/DEVSQ('P2 média'!$E$2:$E$26)</f>
        <v>0.997717461389307</v>
      </c>
    </row>
    <row r="14" customFormat="false" ht="15" hidden="false" customHeight="false" outlineLevel="0" collapsed="false">
      <c r="A14" s="2" t="s">
        <v>29</v>
      </c>
      <c r="B14" s="2" t="s">
        <v>22</v>
      </c>
      <c r="C14" s="2" t="s">
        <v>25</v>
      </c>
      <c r="D14" s="4" t="n">
        <f aca="false">MAX(MAX('P2 média'!L2:L26),-MIN('P2 média'!L2:L26))</f>
        <v>0.013710153813331</v>
      </c>
      <c r="E14" s="4" t="n">
        <f aca="false">SUMPRODUCT(ABS('P2 média'!L2:L26))/25</f>
        <v>0.00309321827308075</v>
      </c>
      <c r="F14" s="5" t="n">
        <f aca="false">MAX('P2 média'!P2:P26)</f>
        <v>0.0808290722509752</v>
      </c>
      <c r="G14" s="5" t="n">
        <f aca="false">AVERAGE('P2 média'!P2:P26)</f>
        <v>0.0111533391886195</v>
      </c>
      <c r="H14" s="6" t="n">
        <f aca="false">SQRT(SUMSQ('P2 média'!L2:L26))/SQRT(SUMSQ('P2 média'!$E$2:$E$26))</f>
        <v>0.00798155479181638</v>
      </c>
      <c r="I14" s="7" t="n">
        <f aca="false">1-SUMSQ('P2 média'!L2:L26)/DEVSQ('P2 média'!$E$2:$E$26)</f>
        <v>0.999663758274588</v>
      </c>
    </row>
    <row r="15" customFormat="false" ht="15" hidden="false" customHeight="false" outlineLevel="0" collapsed="false">
      <c r="A15" s="2" t="s">
        <v>29</v>
      </c>
      <c r="B15" s="2" t="s">
        <v>22</v>
      </c>
      <c r="C15" s="2" t="s">
        <v>26</v>
      </c>
      <c r="D15" s="4" t="n">
        <f aca="false">MAX(MAX('P2 média'!M2:M26),-MIN('P2 média'!M2:M26))</f>
        <v>0.0141401013907031</v>
      </c>
      <c r="E15" s="4" t="n">
        <f aca="false">SUMPRODUCT(ABS('P2 média'!M2:M26))/25</f>
        <v>0.00376847372374983</v>
      </c>
      <c r="F15" s="5" t="n">
        <f aca="false">MAX('P2 média'!Q2:Q26)</f>
        <v>0.0605765740072432</v>
      </c>
      <c r="G15" s="5" t="n">
        <f aca="false">AVERAGE('P2 média'!Q2:Q26)</f>
        <v>0.00924674608130888</v>
      </c>
      <c r="H15" s="6" t="n">
        <f aca="false">SQRT(SUMSQ('P2 média'!M2:M26))/SQRT(SUMSQ('P2 média'!$E$2:$E$26))</f>
        <v>0.00890270683359346</v>
      </c>
      <c r="I15" s="7" t="n">
        <f aca="false">1-SUMSQ('P2 média'!M2:M26)/DEVSQ('P2 média'!$E$2:$E$26)</f>
        <v>0.999581668323105</v>
      </c>
    </row>
    <row r="16" customFormat="false" ht="15" hidden="false" customHeight="false" outlineLevel="0" collapsed="false">
      <c r="A16" s="8" t="s">
        <v>29</v>
      </c>
      <c r="B16" s="8" t="s">
        <v>22</v>
      </c>
      <c r="C16" s="8" t="s">
        <v>27</v>
      </c>
      <c r="D16" s="9" t="n">
        <v>0.0115991636375913</v>
      </c>
      <c r="E16" s="9" t="n">
        <v>0.00578009365936736</v>
      </c>
      <c r="F16" s="10" t="n">
        <v>0.0655322356942683</v>
      </c>
      <c r="G16" s="10" t="n">
        <v>0.0177329874067762</v>
      </c>
      <c r="H16" s="11" t="n">
        <v>0.0120424536654806</v>
      </c>
      <c r="I16" s="12" t="n">
        <v>0.999243182692381</v>
      </c>
    </row>
    <row r="17" customFormat="false" ht="15" hidden="false" customHeight="false" outlineLevel="0" collapsed="false">
      <c r="A17" s="2" t="s">
        <v>29</v>
      </c>
      <c r="B17" s="2" t="s">
        <v>28</v>
      </c>
      <c r="C17" s="2" t="s">
        <v>23</v>
      </c>
      <c r="D17" s="4" t="n">
        <f aca="false">MAX(MAX('P2 desvio'!J2:J26),-MIN('P2 desvio'!J2:J26))</f>
        <v>0.0326933478535572</v>
      </c>
      <c r="E17" s="4" t="n">
        <f aca="false">SUMPRODUCT(ABS('P2 desvio'!J2:J26))/25</f>
        <v>0.00964133534619575</v>
      </c>
      <c r="F17" s="5" t="n">
        <f aca="false">MAX('P2 desvio'!N2:N26)</f>
        <v>0.449232639496549</v>
      </c>
      <c r="G17" s="5" t="n">
        <f aca="false">AVERAGE('P2 desvio'!N2:N26)</f>
        <v>0.109423096762525</v>
      </c>
      <c r="H17" s="6" t="n">
        <f aca="false">SQRT(SUMSQ('P2 desvio'!J2:J26))/SQRT(SUMSQ('P2 desvio'!$E$2:$E$26))</f>
        <v>0.10637770001323</v>
      </c>
      <c r="I17" s="7" t="n">
        <f aca="false">1-SUMSQ('P2 desvio'!J2:J26)/DEVSQ('P2 desvio'!$E$2:$E$26)</f>
        <v>0.872344393400459</v>
      </c>
    </row>
    <row r="18" customFormat="false" ht="15" hidden="false" customHeight="false" outlineLevel="0" collapsed="false">
      <c r="A18" s="2" t="s">
        <v>29</v>
      </c>
      <c r="B18" s="2" t="s">
        <v>28</v>
      </c>
      <c r="C18" s="2" t="s">
        <v>24</v>
      </c>
      <c r="D18" s="4" t="n">
        <f aca="false">MAX(MAX('P2 desvio'!K2:K26),-MIN('P2 desvio'!K2:K26))</f>
        <v>0.0865286365220527</v>
      </c>
      <c r="E18" s="4" t="n">
        <f aca="false">SUMPRODUCT(ABS('P2 desvio'!K2:K26))/25</f>
        <v>0.0305926646823342</v>
      </c>
      <c r="F18" s="5" t="n">
        <f aca="false">MAX('P2 desvio'!O2:O26)</f>
        <v>1.1889723851762</v>
      </c>
      <c r="G18" s="5" t="n">
        <f aca="false">AVERAGE('P2 desvio'!O2:O26)</f>
        <v>0.306664215093071</v>
      </c>
      <c r="H18" s="6" t="n">
        <f aca="false">SQRT(SUMSQ('P2 desvio'!K2:K26))/SQRT(SUMSQ('P2 desvio'!$E$2:$E$26))</f>
        <v>0.335523572185279</v>
      </c>
      <c r="I18" s="7" t="n">
        <f aca="false">1-SUMSQ('P2 desvio'!K2:K26)/DEVSQ('P2 desvio'!$E$2:$E$26)</f>
        <v>-0.269944597902091</v>
      </c>
    </row>
    <row r="19" customFormat="false" ht="15" hidden="false" customHeight="false" outlineLevel="0" collapsed="false">
      <c r="A19" s="2" t="s">
        <v>29</v>
      </c>
      <c r="B19" s="2" t="s">
        <v>28</v>
      </c>
      <c r="C19" s="2" t="s">
        <v>25</v>
      </c>
      <c r="D19" s="4" t="n">
        <f aca="false">MAX(MAX('P2 desvio'!L2:L26),-MIN('P2 desvio'!L2:L26))</f>
        <v>0.0897637408897118</v>
      </c>
      <c r="E19" s="4" t="n">
        <f aca="false">SUMPRODUCT(ABS('P2 desvio'!L2:L26))/25</f>
        <v>0.0308403177947419</v>
      </c>
      <c r="F19" s="5" t="n">
        <f aca="false">MAX('P2 desvio'!P2:P26)</f>
        <v>1.23342529592245</v>
      </c>
      <c r="G19" s="5" t="n">
        <f aca="false">AVERAGE('P2 desvio'!P2:P26)</f>
        <v>0.306295567507499</v>
      </c>
      <c r="H19" s="6" t="n">
        <f aca="false">SQRT(SUMSQ('P2 desvio'!L2:L26))/SQRT(SUMSQ('P2 desvio'!$E$2:$E$26))</f>
        <v>0.335262212981096</v>
      </c>
      <c r="I19" s="7" t="n">
        <f aca="false">1-SUMSQ('P2 desvio'!L2:L26)/DEVSQ('P2 desvio'!$E$2:$E$26)</f>
        <v>-0.267966898186694</v>
      </c>
    </row>
    <row r="20" customFormat="false" ht="15" hidden="false" customHeight="false" outlineLevel="0" collapsed="false">
      <c r="A20" s="2" t="s">
        <v>29</v>
      </c>
      <c r="B20" s="2" t="s">
        <v>28</v>
      </c>
      <c r="C20" s="2" t="s">
        <v>26</v>
      </c>
      <c r="D20" s="4" t="n">
        <f aca="false">MAX(MAX('P2 desvio'!M2:M26),-MIN('P2 desvio'!M2:M26))</f>
        <v>0.0314228739077357</v>
      </c>
      <c r="E20" s="4" t="n">
        <f aca="false">SUMPRODUCT(ABS('P2 desvio'!M2:M26))/25</f>
        <v>0.0113386125926943</v>
      </c>
      <c r="F20" s="5" t="n">
        <f aca="false">MAX('P2 desvio'!Q2:Q26)</f>
        <v>0.43177531555868</v>
      </c>
      <c r="G20" s="5" t="n">
        <f aca="false">AVERAGE('P2 desvio'!Q2:Q26)</f>
        <v>0.125180503888464</v>
      </c>
      <c r="H20" s="6" t="n">
        <f aca="false">SQRT(SUMSQ('P2 desvio'!M2:M26))/SQRT(SUMSQ('P2 desvio'!$E$2:$E$26))</f>
        <v>0.119509842781742</v>
      </c>
      <c r="I20" s="7" t="n">
        <f aca="false">1-SUMSQ('P2 desvio'!M2:M26)/DEVSQ('P2 desvio'!$E$2:$E$26)</f>
        <v>0.838881262061044</v>
      </c>
    </row>
    <row r="21" customFormat="false" ht="15" hidden="false" customHeight="false" outlineLevel="0" collapsed="false">
      <c r="A21" s="8" t="s">
        <v>29</v>
      </c>
      <c r="B21" s="8" t="s">
        <v>28</v>
      </c>
      <c r="C21" s="8" t="s">
        <v>27</v>
      </c>
      <c r="D21" s="9" t="n">
        <v>0.0118941459977496</v>
      </c>
      <c r="E21" s="9" t="n">
        <v>0.00631170614952691</v>
      </c>
      <c r="F21" s="10" t="n">
        <v>0.185367999597574</v>
      </c>
      <c r="G21" s="10" t="n">
        <v>0.0690778600035033</v>
      </c>
      <c r="H21" s="11" t="n">
        <v>0.066470548345303</v>
      </c>
      <c r="I21" s="12" t="n">
        <v>0.950276594512389</v>
      </c>
    </row>
    <row r="22" customFormat="false" ht="15" hidden="false" customHeight="false" outlineLevel="0" collapsed="false">
      <c r="A22" s="2" t="s">
        <v>30</v>
      </c>
      <c r="B22" s="2" t="s">
        <v>22</v>
      </c>
      <c r="C22" s="2" t="s">
        <v>23</v>
      </c>
      <c r="D22" s="4" t="n">
        <f aca="false">MAX(MAX('P3 média'!J2:J26),-MIN('P3 média'!J2:J26))</f>
        <v>0.016523358367319</v>
      </c>
      <c r="E22" s="4" t="n">
        <f aca="false">SUMPRODUCT(ABS('P3 média'!J2:J26))/25</f>
        <v>0.00407363644464613</v>
      </c>
      <c r="F22" s="5" t="n">
        <f aca="false">MAX('P3 média'!N2:N26)</f>
        <v>0.0827839000985108</v>
      </c>
      <c r="G22" s="5" t="n">
        <f aca="false">AVERAGE('P3 média'!N2:N26)</f>
        <v>0.0208202258742571</v>
      </c>
      <c r="H22" s="6" t="n">
        <f aca="false">SQRT(SUMSQ('P3 média'!J2:J26))/SQRT(SUMSQ('P3 média'!$E$2:$E$26))</f>
        <v>0.0193540724605131</v>
      </c>
      <c r="I22" s="7" t="n">
        <f aca="false">1-SUMSQ('P3 média'!J2:J26)/DEVSQ('P3 média'!$E$2:$E$26)</f>
        <v>0.99924082686857</v>
      </c>
    </row>
    <row r="23" customFormat="false" ht="15" hidden="false" customHeight="false" outlineLevel="0" collapsed="false">
      <c r="A23" s="2" t="s">
        <v>30</v>
      </c>
      <c r="B23" s="2" t="s">
        <v>22</v>
      </c>
      <c r="C23" s="2" t="s">
        <v>24</v>
      </c>
      <c r="D23" s="4" t="n">
        <f aca="false">MAX(MAX('P3 média'!K2:K26),-MIN('P3 média'!K2:K26))</f>
        <v>0.03810296196316</v>
      </c>
      <c r="E23" s="4" t="n">
        <f aca="false">SUMPRODUCT(ABS('P3 média'!K2:K26))/25</f>
        <v>0.0100835249668625</v>
      </c>
      <c r="F23" s="5" t="n">
        <f aca="false">MAX('P3 média'!O2:O26)</f>
        <v>0.193001150610767</v>
      </c>
      <c r="G23" s="5" t="n">
        <f aca="false">AVERAGE('P3 média'!O2:O26)</f>
        <v>0.0605559143821854</v>
      </c>
      <c r="H23" s="6" t="n">
        <f aca="false">SQRT(SUMSQ('P3 média'!K2:K26))/SQRT(SUMSQ('P3 média'!$E$2:$E$26))</f>
        <v>0.0447021352122607</v>
      </c>
      <c r="I23" s="7" t="n">
        <f aca="false">1-SUMSQ('P3 média'!K2:K26)/DEVSQ('P3 média'!$E$2:$E$26)</f>
        <v>0.995950022229167</v>
      </c>
    </row>
    <row r="24" customFormat="false" ht="15" hidden="false" customHeight="false" outlineLevel="0" collapsed="false">
      <c r="A24" s="2" t="s">
        <v>30</v>
      </c>
      <c r="B24" s="2" t="s">
        <v>22</v>
      </c>
      <c r="C24" s="2" t="s">
        <v>25</v>
      </c>
      <c r="D24" s="4" t="n">
        <f aca="false">MAX(MAX('P3 média'!L2:L26),-MIN('P3 média'!L2:L26))</f>
        <v>0.0154024688434672</v>
      </c>
      <c r="E24" s="4" t="n">
        <f aca="false">SUMPRODUCT(ABS('P3 média'!L2:L26))/25</f>
        <v>0.0035078313260908</v>
      </c>
      <c r="F24" s="5" t="n">
        <f aca="false">MAX('P3 média'!P2:P26)</f>
        <v>0.133835908779888</v>
      </c>
      <c r="G24" s="5" t="n">
        <f aca="false">AVERAGE('P3 média'!P2:P26)</f>
        <v>0.0313591633222773</v>
      </c>
      <c r="H24" s="6" t="n">
        <f aca="false">SQRT(SUMSQ('P3 média'!L2:L26))/SQRT(SUMSQ('P3 média'!$E$2:$E$26))</f>
        <v>0.0165526799471215</v>
      </c>
      <c r="I24" s="7" t="n">
        <f aca="false">1-SUMSQ('P3 média'!L2:L26)/DEVSQ('P3 média'!$E$2:$E$26)</f>
        <v>0.999444693522343</v>
      </c>
    </row>
    <row r="25" customFormat="false" ht="15" hidden="false" customHeight="false" outlineLevel="0" collapsed="false">
      <c r="A25" s="2" t="s">
        <v>30</v>
      </c>
      <c r="B25" s="2" t="s">
        <v>22</v>
      </c>
      <c r="C25" s="2" t="s">
        <v>26</v>
      </c>
      <c r="D25" s="4" t="n">
        <f aca="false">MAX(MAX('P3 média'!M2:M26),-MIN('P3 média'!M2:M26))</f>
        <v>0.0169724684917388</v>
      </c>
      <c r="E25" s="4" t="n">
        <f aca="false">SUMPRODUCT(ABS('P3 média'!M2:M26))/25</f>
        <v>0.00428375906883961</v>
      </c>
      <c r="F25" s="5" t="n">
        <f aca="false">MAX('P3 média'!Q2:Q26)</f>
        <v>0.0873859359920934</v>
      </c>
      <c r="G25" s="5" t="n">
        <f aca="false">AVERAGE('P3 média'!Q2:Q26)</f>
        <v>0.0236313604849171</v>
      </c>
      <c r="H25" s="6" t="n">
        <f aca="false">SQRT(SUMSQ('P3 média'!M2:M26))/SQRT(SUMSQ('P3 média'!$E$2:$E$26))</f>
        <v>0.0198903945359212</v>
      </c>
      <c r="I25" s="7" t="n">
        <f aca="false">1-SUMSQ('P3 média'!M2:M26)/DEVSQ('P3 média'!$E$2:$E$26)</f>
        <v>0.999198168895861</v>
      </c>
    </row>
    <row r="26" customFormat="false" ht="15" hidden="false" customHeight="false" outlineLevel="0" collapsed="false">
      <c r="A26" s="8" t="s">
        <v>30</v>
      </c>
      <c r="B26" s="8" t="s">
        <v>22</v>
      </c>
      <c r="C26" s="8" t="s">
        <v>27</v>
      </c>
      <c r="D26" s="9" t="n">
        <v>0.0065595061639297</v>
      </c>
      <c r="E26" s="9" t="n">
        <v>0.00218083081297935</v>
      </c>
      <c r="F26" s="10" t="n">
        <v>0.0551384491566677</v>
      </c>
      <c r="G26" s="10" t="n">
        <v>0.0135926511523443</v>
      </c>
      <c r="H26" s="11" t="n">
        <v>0.00843190268478724</v>
      </c>
      <c r="I26" s="12" t="n">
        <v>0.999855642765037</v>
      </c>
    </row>
    <row r="27" customFormat="false" ht="15" hidden="false" customHeight="false" outlineLevel="0" collapsed="false">
      <c r="A27" s="2" t="s">
        <v>30</v>
      </c>
      <c r="B27" s="2" t="s">
        <v>28</v>
      </c>
      <c r="C27" s="2" t="s">
        <v>23</v>
      </c>
      <c r="D27" s="4" t="n">
        <f aca="false">MAX(MAX('P3 desvio'!J2:J26),-MIN('P3 desvio'!J2:J26))</f>
        <v>0.0361035764396581</v>
      </c>
      <c r="E27" s="4" t="n">
        <f aca="false">SUMPRODUCT(ABS('P3 desvio'!J2:J26))/25</f>
        <v>0.0118139519060858</v>
      </c>
      <c r="F27" s="5" t="n">
        <f aca="false">MAX('P3 desvio'!N2:N26)</f>
        <v>0.480374544950297</v>
      </c>
      <c r="G27" s="5" t="n">
        <f aca="false">AVERAGE('P3 desvio'!N2:N26)</f>
        <v>0.197545525766039</v>
      </c>
      <c r="H27" s="6" t="n">
        <f aca="false">SQRT(SUMSQ('P3 desvio'!J2:J26))/SQRT(SUMSQ('P3 desvio'!$E$2:$E$26))</f>
        <v>0.210353229327528</v>
      </c>
      <c r="I27" s="7" t="n">
        <f aca="false">1-SUMSQ('P3 desvio'!J2:J26)/DEVSQ('P3 desvio'!$E$2:$E$26)</f>
        <v>0.816268067242105</v>
      </c>
    </row>
    <row r="28" customFormat="false" ht="15" hidden="false" customHeight="false" outlineLevel="0" collapsed="false">
      <c r="A28" s="2" t="s">
        <v>30</v>
      </c>
      <c r="B28" s="2" t="s">
        <v>28</v>
      </c>
      <c r="C28" s="2" t="s">
        <v>24</v>
      </c>
      <c r="D28" s="4" t="n">
        <f aca="false">MAX(MAX('P3 desvio'!K2:K26),-MIN('P3 desvio'!K2:K26))</f>
        <v>0.0862850614967455</v>
      </c>
      <c r="E28" s="4" t="n">
        <f aca="false">SUMPRODUCT(ABS('P3 desvio'!K2:K26))/25</f>
        <v>0.017090988874272</v>
      </c>
      <c r="F28" s="5" t="n">
        <f aca="false">MAX('P3 desvio'!O2:O26)</f>
        <v>1.14806208248603</v>
      </c>
      <c r="G28" s="5" t="n">
        <f aca="false">AVERAGE('P3 desvio'!O2:O26)</f>
        <v>0.293778147146808</v>
      </c>
      <c r="H28" s="6" t="n">
        <f aca="false">SQRT(SUMSQ('P3 desvio'!K2:K26))/SQRT(SUMSQ('P3 desvio'!$E$2:$E$26))</f>
        <v>0.39331871899364</v>
      </c>
      <c r="I28" s="7" t="n">
        <f aca="false">1-SUMSQ('P3 desvio'!K2:K26)/DEVSQ('P3 desvio'!$E$2:$E$26)</f>
        <v>0.357644409288181</v>
      </c>
    </row>
    <row r="29" customFormat="false" ht="15" hidden="false" customHeight="false" outlineLevel="0" collapsed="false">
      <c r="A29" s="2" t="s">
        <v>30</v>
      </c>
      <c r="B29" s="2" t="s">
        <v>28</v>
      </c>
      <c r="C29" s="2" t="s">
        <v>25</v>
      </c>
      <c r="D29" s="4" t="n">
        <f aca="false">MAX(MAX('P3 desvio'!L2:L26),-MIN('P3 desvio'!L2:L26))</f>
        <v>0.0859090301179086</v>
      </c>
      <c r="E29" s="4" t="n">
        <f aca="false">SUMPRODUCT(ABS('P3 desvio'!L2:L26))/25</f>
        <v>0.0169154611324709</v>
      </c>
      <c r="F29" s="5" t="n">
        <f aca="false">MAX('P3 desvio'!P2:P26)</f>
        <v>1.18928295148353</v>
      </c>
      <c r="G29" s="5" t="n">
        <f aca="false">AVERAGE('P3 desvio'!P2:P26)</f>
        <v>0.271887203158828</v>
      </c>
      <c r="H29" s="6" t="n">
        <f aca="false">SQRT(SUMSQ('P3 desvio'!L2:L26))/SQRT(SUMSQ('P3 desvio'!$E$2:$E$26))</f>
        <v>0.391057523192861</v>
      </c>
      <c r="I29" s="7" t="n">
        <f aca="false">1-SUMSQ('P3 desvio'!L2:L26)/DEVSQ('P3 desvio'!$E$2:$E$26)</f>
        <v>0.365009004436254</v>
      </c>
    </row>
    <row r="30" customFormat="false" ht="15" hidden="false" customHeight="false" outlineLevel="0" collapsed="false">
      <c r="A30" s="2" t="s">
        <v>30</v>
      </c>
      <c r="B30" s="2" t="s">
        <v>28</v>
      </c>
      <c r="C30" s="2" t="s">
        <v>26</v>
      </c>
      <c r="D30" s="4" t="n">
        <f aca="false">MAX(MAX('P3 desvio'!M2:M26),-MIN('P3 desvio'!M2:M26))</f>
        <v>0.0323873094665497</v>
      </c>
      <c r="E30" s="4" t="n">
        <f aca="false">SUMPRODUCT(ABS('P3 desvio'!M2:M26))/25</f>
        <v>0.0109980369728873</v>
      </c>
      <c r="F30" s="5" t="n">
        <f aca="false">MAX('P3 desvio'!Q2:Q26)</f>
        <v>0.430927918544613</v>
      </c>
      <c r="G30" s="5" t="n">
        <f aca="false">AVERAGE('P3 desvio'!Q2:Q26)</f>
        <v>0.195097611411216</v>
      </c>
      <c r="H30" s="6" t="n">
        <f aca="false">SQRT(SUMSQ('P3 desvio'!M2:M26))/SQRT(SUMSQ('P3 desvio'!$E$2:$E$26))</f>
        <v>0.189412366011081</v>
      </c>
      <c r="I30" s="7" t="n">
        <f aca="false">1-SUMSQ('P3 desvio'!M2:M26)/DEVSQ('P3 desvio'!$E$2:$E$26)</f>
        <v>0.851028587948975</v>
      </c>
    </row>
    <row r="31" customFormat="false" ht="15" hidden="false" customHeight="false" outlineLevel="0" collapsed="false">
      <c r="A31" s="8" t="s">
        <v>30</v>
      </c>
      <c r="B31" s="8" t="s">
        <v>28</v>
      </c>
      <c r="C31" s="8" t="s">
        <v>27</v>
      </c>
      <c r="D31" s="9" t="n">
        <v>0.0131611171463722</v>
      </c>
      <c r="E31" s="9" t="n">
        <v>0.00436816314538399</v>
      </c>
      <c r="F31" s="10" t="n">
        <v>0.199319438942783</v>
      </c>
      <c r="G31" s="10" t="n">
        <v>0.0862214448195817</v>
      </c>
      <c r="H31" s="11" t="n">
        <v>0.0825540834352579</v>
      </c>
      <c r="I31" s="12" t="n">
        <v>0.971875569622217</v>
      </c>
    </row>
    <row r="33" customFormat="false" ht="15" hidden="false" customHeight="false" outlineLevel="0" collapsed="false">
      <c r="A33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17" min="5" style="0" width="13"/>
  </cols>
  <sheetData>
    <row r="1" customFormat="false" ht="42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1.5</v>
      </c>
      <c r="D2" s="2" t="n">
        <v>1.5</v>
      </c>
      <c r="E2" s="13" t="n">
        <v>0.897453665575226</v>
      </c>
      <c r="F2" s="13" t="n">
        <v>0.901892305026635</v>
      </c>
      <c r="G2" s="13" t="n">
        <v>0.896514102654303</v>
      </c>
      <c r="H2" s="13" t="n">
        <v>0.907564035936692</v>
      </c>
      <c r="I2" s="13" t="n">
        <v>0.901916707812395</v>
      </c>
      <c r="J2" s="4" t="n">
        <f aca="false">F2-$E2</f>
        <v>0.0044386394514091</v>
      </c>
      <c r="K2" s="4" t="n">
        <f aca="false">G2-$E2</f>
        <v>-0.000939562920922121</v>
      </c>
      <c r="L2" s="4" t="n">
        <f aca="false">H2-$E2</f>
        <v>0.0101103703614661</v>
      </c>
      <c r="M2" s="4" t="n">
        <f aca="false">I2-$E2</f>
        <v>0.00446304223716976</v>
      </c>
      <c r="N2" s="5" t="n">
        <f aca="false">ABS(J2)/ABS($E2)</f>
        <v>0.00494581461045584</v>
      </c>
      <c r="O2" s="5" t="n">
        <f aca="false">ABS(K2)/ABS($E2)</f>
        <v>0.00104692081269723</v>
      </c>
      <c r="P2" s="5" t="n">
        <f aca="false">ABS(L2)/ABS($E2)</f>
        <v>0.0112656182143797</v>
      </c>
      <c r="Q2" s="5" t="n">
        <f aca="false">ABS(M2)/ABS($E2)</f>
        <v>0.00497300574766627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4.5</v>
      </c>
      <c r="D3" s="2" t="n">
        <v>1.5</v>
      </c>
      <c r="E3" s="13" t="n">
        <v>0.702365251989902</v>
      </c>
      <c r="F3" s="13" t="n">
        <v>0.704110837251576</v>
      </c>
      <c r="G3" s="13" t="n">
        <v>0.703425668981467</v>
      </c>
      <c r="H3" s="13" t="n">
        <v>0.707246541945187</v>
      </c>
      <c r="I3" s="13" t="n">
        <v>0.701723481171637</v>
      </c>
      <c r="J3" s="4" t="n">
        <f aca="false">F3-$E3</f>
        <v>0.00174558526167445</v>
      </c>
      <c r="K3" s="4" t="n">
        <f aca="false">G3-$E3</f>
        <v>0.00106041699156578</v>
      </c>
      <c r="L3" s="4" t="n">
        <f aca="false">H3-$E3</f>
        <v>0.00488128995528525</v>
      </c>
      <c r="M3" s="4" t="n">
        <f aca="false">I3-$E3</f>
        <v>-0.000641770818264109</v>
      </c>
      <c r="N3" s="5" t="n">
        <f aca="false">ABS(J3)/ABS($E3)</f>
        <v>0.00248529558762903</v>
      </c>
      <c r="O3" s="5" t="n">
        <f aca="false">ABS(K3)/ABS($E3)</f>
        <v>0.0015097799735415</v>
      </c>
      <c r="P3" s="5" t="n">
        <f aca="false">ABS(L3)/ABS($E3)</f>
        <v>0.00694978850598867</v>
      </c>
      <c r="Q3" s="5" t="n">
        <f aca="false">ABS(M3)/ABS($E3)</f>
        <v>0.000913728030317389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7.5</v>
      </c>
      <c r="D4" s="2" t="n">
        <v>1.5</v>
      </c>
      <c r="E4" s="13" t="n">
        <v>0.50451095660324</v>
      </c>
      <c r="F4" s="13" t="n">
        <v>0.50345262635042</v>
      </c>
      <c r="G4" s="13" t="n">
        <v>0.505635799354505</v>
      </c>
      <c r="H4" s="13" t="n">
        <v>0.501732825025541</v>
      </c>
      <c r="I4" s="13" t="n">
        <v>0.49641873369404</v>
      </c>
      <c r="J4" s="4" t="n">
        <f aca="false">F4-$E4</f>
        <v>-0.00105833025281954</v>
      </c>
      <c r="K4" s="4" t="n">
        <f aca="false">G4-$E4</f>
        <v>0.00112484275126468</v>
      </c>
      <c r="L4" s="4" t="n">
        <f aca="false">H4-$E4</f>
        <v>-0.00277813157769846</v>
      </c>
      <c r="M4" s="4" t="n">
        <f aca="false">I4-$E4</f>
        <v>-0.00809222290919953</v>
      </c>
      <c r="N4" s="5" t="n">
        <f aca="false">ABS(J4)/ABS($E4)</f>
        <v>0.00209773492323148</v>
      </c>
      <c r="O4" s="5" t="n">
        <f aca="false">ABS(K4)/ABS($E4)</f>
        <v>0.00222957051089236</v>
      </c>
      <c r="P4" s="5" t="n">
        <f aca="false">ABS(L4)/ABS($E4)</f>
        <v>0.00550658323934728</v>
      </c>
      <c r="Q4" s="5" t="n">
        <f aca="false">ABS(M4)/ABS($E4)</f>
        <v>0.0160397367059829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10.5</v>
      </c>
      <c r="D5" s="2" t="n">
        <v>1.5</v>
      </c>
      <c r="E5" s="13" t="n">
        <v>0.29853263686534</v>
      </c>
      <c r="F5" s="13" t="n">
        <v>0.297247674774909</v>
      </c>
      <c r="G5" s="13" t="n">
        <v>0.292890447684609</v>
      </c>
      <c r="H5" s="13" t="n">
        <v>0.293269791490245</v>
      </c>
      <c r="I5" s="13" t="n">
        <v>0.290839247723889</v>
      </c>
      <c r="J5" s="4" t="n">
        <f aca="false">F5-$E5</f>
        <v>-0.00128496209043111</v>
      </c>
      <c r="K5" s="4" t="n">
        <f aca="false">G5-$E5</f>
        <v>-0.00564218918073151</v>
      </c>
      <c r="L5" s="4" t="n">
        <f aca="false">H5-$E5</f>
        <v>-0.00526284537509542</v>
      </c>
      <c r="M5" s="4" t="n">
        <f aca="false">I5-$E5</f>
        <v>-0.00769338914145173</v>
      </c>
      <c r="N5" s="5" t="n">
        <f aca="false">ABS(J5)/ABS($E5)</f>
        <v>0.00430426000963747</v>
      </c>
      <c r="O5" s="5" t="n">
        <f aca="false">ABS(K5)/ABS($E5)</f>
        <v>0.0188997398742588</v>
      </c>
      <c r="P5" s="5" t="n">
        <f aca="false">ABS(L5)/ABS($E5)</f>
        <v>0.0176290452874985</v>
      </c>
      <c r="Q5" s="5" t="n">
        <f aca="false">ABS(M5)/ABS($E5)</f>
        <v>0.0257706802922255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13.5</v>
      </c>
      <c r="D6" s="2" t="n">
        <v>1.5</v>
      </c>
      <c r="E6" s="13" t="n">
        <v>0.098639169567953</v>
      </c>
      <c r="F6" s="13" t="n">
        <v>0.0960405393536321</v>
      </c>
      <c r="G6" s="13" t="n">
        <v>0.0957342263481089</v>
      </c>
      <c r="H6" s="13" t="n">
        <v>0.0915725421489345</v>
      </c>
      <c r="I6" s="13" t="n">
        <v>0.0943384912255508</v>
      </c>
      <c r="J6" s="4" t="n">
        <f aca="false">F6-$E6</f>
        <v>-0.00259863021432089</v>
      </c>
      <c r="K6" s="4" t="n">
        <f aca="false">G6-$E6</f>
        <v>-0.00290494321984411</v>
      </c>
      <c r="L6" s="4" t="n">
        <f aca="false">H6-$E6</f>
        <v>-0.00706662741901848</v>
      </c>
      <c r="M6" s="4" t="n">
        <f aca="false">I6-$E6</f>
        <v>-0.00430067834240216</v>
      </c>
      <c r="N6" s="5" t="n">
        <f aca="false">ABS(J6)/ABS($E6)</f>
        <v>0.0263448103395749</v>
      </c>
      <c r="O6" s="5" t="n">
        <f aca="false">ABS(K6)/ABS($E6)</f>
        <v>0.0294501994751981</v>
      </c>
      <c r="P6" s="5" t="n">
        <f aca="false">ABS(L6)/ABS($E6)</f>
        <v>0.0716411892960052</v>
      </c>
      <c r="Q6" s="5" t="n">
        <f aca="false">ABS(M6)/ABS($E6)</f>
        <v>0.043600106947772</v>
      </c>
    </row>
    <row r="7" customFormat="false" ht="15" hidden="false" customHeight="false" outlineLevel="0" collapsed="false">
      <c r="A7" s="2" t="n">
        <v>0</v>
      </c>
      <c r="B7" s="2" t="n">
        <v>1</v>
      </c>
      <c r="C7" s="2" t="n">
        <v>1.5</v>
      </c>
      <c r="D7" s="2" t="n">
        <v>4.5</v>
      </c>
      <c r="E7" s="13" t="n">
        <v>0.898939197610261</v>
      </c>
      <c r="F7" s="13" t="n">
        <v>0.902779502851886</v>
      </c>
      <c r="G7" s="13" t="n">
        <v>0.905995204513966</v>
      </c>
      <c r="H7" s="13" t="n">
        <v>0.909291823106244</v>
      </c>
      <c r="I7" s="13" t="n">
        <v>0.902585992672527</v>
      </c>
      <c r="J7" s="4" t="n">
        <f aca="false">F7-$E7</f>
        <v>0.00384030524162515</v>
      </c>
      <c r="K7" s="4" t="n">
        <f aca="false">G7-$E7</f>
        <v>0.00705600690370545</v>
      </c>
      <c r="L7" s="4" t="n">
        <f aca="false">H7-$E7</f>
        <v>0.0103526254959833</v>
      </c>
      <c r="M7" s="4" t="n">
        <f aca="false">I7-$E7</f>
        <v>0.00364679506226662</v>
      </c>
      <c r="N7" s="5" t="n">
        <f aca="false">ABS(J7)/ABS($E7)</f>
        <v>0.00427204114787098</v>
      </c>
      <c r="O7" s="5" t="n">
        <f aca="false">ABS(K7)/ABS($E7)</f>
        <v>0.0078492593519819</v>
      </c>
      <c r="P7" s="5" t="n">
        <f aca="false">ABS(L7)/ABS($E7)</f>
        <v>0.011516491352813</v>
      </c>
      <c r="Q7" s="5" t="n">
        <f aca="false">ABS(M7)/ABS($E7)</f>
        <v>0.00405677611117777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4.5</v>
      </c>
      <c r="D8" s="2" t="n">
        <v>4.5</v>
      </c>
      <c r="E8" s="13" t="n">
        <v>0.700666903264096</v>
      </c>
      <c r="F8" s="13" t="n">
        <v>0.703042725751376</v>
      </c>
      <c r="G8" s="13" t="n">
        <v>0.697909404304447</v>
      </c>
      <c r="H8" s="13" t="n">
        <v>0.707543114587155</v>
      </c>
      <c r="I8" s="13" t="n">
        <v>0.70024088534832</v>
      </c>
      <c r="J8" s="4" t="n">
        <f aca="false">F8-$E8</f>
        <v>0.00237582248728008</v>
      </c>
      <c r="K8" s="4" t="n">
        <f aca="false">G8-$E8</f>
        <v>-0.00275749895964894</v>
      </c>
      <c r="L8" s="4" t="n">
        <f aca="false">H8-$E8</f>
        <v>0.00687621132305905</v>
      </c>
      <c r="M8" s="4" t="n">
        <f aca="false">I8-$E8</f>
        <v>-0.0004260179157759</v>
      </c>
      <c r="N8" s="5" t="n">
        <f aca="false">ABS(J8)/ABS($E8)</f>
        <v>0.00339080164370855</v>
      </c>
      <c r="O8" s="5" t="n">
        <f aca="false">ABS(K8)/ABS($E8)</f>
        <v>0.00393553476952169</v>
      </c>
      <c r="P8" s="5" t="n">
        <f aca="false">ABS(L8)/ABS($E8)</f>
        <v>0.00981380923092818</v>
      </c>
      <c r="Q8" s="5" t="n">
        <f aca="false">ABS(M8)/ABS($E8)</f>
        <v>0.00060801775250304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7.5</v>
      </c>
      <c r="D9" s="2" t="n">
        <v>4.5</v>
      </c>
      <c r="E9" s="13" t="n">
        <v>0.50251234343532</v>
      </c>
      <c r="F9" s="13" t="n">
        <v>0.501842429199824</v>
      </c>
      <c r="G9" s="13" t="n">
        <v>0.483524670781869</v>
      </c>
      <c r="H9" s="13" t="n">
        <v>0.500618466369371</v>
      </c>
      <c r="I9" s="13" t="n">
        <v>0.494624748885964</v>
      </c>
      <c r="J9" s="4" t="n">
        <f aca="false">F9-$E9</f>
        <v>-0.000669914235495783</v>
      </c>
      <c r="K9" s="4" t="n">
        <f aca="false">G9-$E9</f>
        <v>-0.0189876726534514</v>
      </c>
      <c r="L9" s="4" t="n">
        <f aca="false">H9-$E9</f>
        <v>-0.0018938770659489</v>
      </c>
      <c r="M9" s="4" t="n">
        <f aca="false">I9-$E9</f>
        <v>-0.00788759454935611</v>
      </c>
      <c r="N9" s="5" t="n">
        <f aca="false">ABS(J9)/ABS($E9)</f>
        <v>0.00133312991063275</v>
      </c>
      <c r="O9" s="5" t="n">
        <f aca="false">ABS(K9)/ABS($E9)</f>
        <v>0.03778548507614</v>
      </c>
      <c r="P9" s="5" t="n">
        <f aca="false">ABS(L9)/ABS($E9)</f>
        <v>0.00376881700656706</v>
      </c>
      <c r="Q9" s="5" t="n">
        <f aca="false">ABS(M9)/ABS($E9)</f>
        <v>0.0156963200056624</v>
      </c>
    </row>
    <row r="10" customFormat="false" ht="15" hidden="false" customHeight="false" outlineLevel="0" collapsed="false">
      <c r="A10" s="2" t="n">
        <v>3</v>
      </c>
      <c r="B10" s="2" t="n">
        <v>1</v>
      </c>
      <c r="C10" s="2" t="n">
        <v>10.5</v>
      </c>
      <c r="D10" s="2" t="n">
        <v>4.5</v>
      </c>
      <c r="E10" s="13" t="n">
        <v>0.2976374549935</v>
      </c>
      <c r="F10" s="13" t="n">
        <v>0.296359832494871</v>
      </c>
      <c r="G10" s="13" t="n">
        <v>0.288078316690933</v>
      </c>
      <c r="H10" s="13" t="n">
        <v>0.293051071012127</v>
      </c>
      <c r="I10" s="13" t="n">
        <v>0.291091725170395</v>
      </c>
      <c r="J10" s="4" t="n">
        <f aca="false">F10-$E10</f>
        <v>-0.0012776224986295</v>
      </c>
      <c r="K10" s="4" t="n">
        <f aca="false">G10-$E10</f>
        <v>-0.00955913830256699</v>
      </c>
      <c r="L10" s="4" t="n">
        <f aca="false">H10-$E10</f>
        <v>-0.00458638398137301</v>
      </c>
      <c r="M10" s="4" t="n">
        <f aca="false">I10-$E10</f>
        <v>-0.0065457298231057</v>
      </c>
      <c r="N10" s="5" t="n">
        <f aca="false">ABS(J10)/ABS($E10)</f>
        <v>0.00429254610666324</v>
      </c>
      <c r="O10" s="5" t="n">
        <f aca="false">ABS(K10)/ABS($E10)</f>
        <v>0.0321167183168387</v>
      </c>
      <c r="P10" s="5" t="n">
        <f aca="false">ABS(L10)/ABS($E10)</f>
        <v>0.0154092971312134</v>
      </c>
      <c r="Q10" s="5" t="n">
        <f aca="false">ABS(M10)/ABS($E10)</f>
        <v>0.0219922920092454</v>
      </c>
    </row>
    <row r="11" customFormat="false" ht="15" hidden="false" customHeight="false" outlineLevel="0" collapsed="false">
      <c r="A11" s="2" t="n">
        <v>4</v>
      </c>
      <c r="B11" s="2" t="n">
        <v>1</v>
      </c>
      <c r="C11" s="2" t="n">
        <v>13.5</v>
      </c>
      <c r="D11" s="2" t="n">
        <v>4.5</v>
      </c>
      <c r="E11" s="13" t="n">
        <v>0.0974952078319584</v>
      </c>
      <c r="F11" s="13" t="n">
        <v>0.0949453239300414</v>
      </c>
      <c r="G11" s="13" t="n">
        <v>0.0951496250335999</v>
      </c>
      <c r="H11" s="13" t="n">
        <v>0.090409116560323</v>
      </c>
      <c r="I11" s="13" t="n">
        <v>0.094143040569706</v>
      </c>
      <c r="J11" s="4" t="n">
        <f aca="false">F11-$E11</f>
        <v>-0.00254988390191692</v>
      </c>
      <c r="K11" s="4" t="n">
        <f aca="false">G11-$E11</f>
        <v>-0.00234558279835846</v>
      </c>
      <c r="L11" s="4" t="n">
        <f aca="false">H11-$E11</f>
        <v>-0.00708609127163541</v>
      </c>
      <c r="M11" s="4" t="n">
        <f aca="false">I11-$E11</f>
        <v>-0.00335216726225236</v>
      </c>
      <c r="N11" s="5" t="n">
        <f aca="false">ABS(J11)/ABS($E11)</f>
        <v>0.0261539408820162</v>
      </c>
      <c r="O11" s="5" t="n">
        <f aca="false">ABS(K11)/ABS($E11)</f>
        <v>0.0240584419533859</v>
      </c>
      <c r="P11" s="5" t="n">
        <f aca="false">ABS(L11)/ABS($E11)</f>
        <v>0.0726814315207053</v>
      </c>
      <c r="Q11" s="5" t="n">
        <f aca="false">ABS(M11)/ABS($E11)</f>
        <v>0.0343828926241187</v>
      </c>
    </row>
    <row r="12" customFormat="false" ht="15" hidden="false" customHeight="false" outlineLevel="0" collapsed="false">
      <c r="A12" s="2" t="n">
        <v>0</v>
      </c>
      <c r="B12" s="2" t="n">
        <v>2</v>
      </c>
      <c r="C12" s="2" t="n">
        <v>1.5</v>
      </c>
      <c r="D12" s="2" t="n">
        <v>7.5</v>
      </c>
      <c r="E12" s="13" t="n">
        <v>0.899785575523061</v>
      </c>
      <c r="F12" s="13" t="n">
        <v>0.903243654410598</v>
      </c>
      <c r="G12" s="13" t="n">
        <v>0.901451923602345</v>
      </c>
      <c r="H12" s="13" t="n">
        <v>0.908553136797674</v>
      </c>
      <c r="I12" s="13" t="n">
        <v>0.903026284891552</v>
      </c>
      <c r="J12" s="4" t="n">
        <f aca="false">F12-$E12</f>
        <v>0.0034580788875378</v>
      </c>
      <c r="K12" s="4" t="n">
        <f aca="false">G12-$E12</f>
        <v>0.00166634807928401</v>
      </c>
      <c r="L12" s="4" t="n">
        <f aca="false">H12-$E12</f>
        <v>0.00876756127461353</v>
      </c>
      <c r="M12" s="4" t="n">
        <f aca="false">I12-$E12</f>
        <v>0.00324070936849119</v>
      </c>
      <c r="N12" s="5" t="n">
        <f aca="false">ABS(J12)/ABS($E12)</f>
        <v>0.00384322552128884</v>
      </c>
      <c r="O12" s="5" t="n">
        <f aca="false">ABS(K12)/ABS($E12)</f>
        <v>0.00185193908928283</v>
      </c>
      <c r="P12" s="5" t="n">
        <f aca="false">ABS(L12)/ABS($E12)</f>
        <v>0.00974405626531277</v>
      </c>
      <c r="Q12" s="5" t="n">
        <f aca="false">ABS(M12)/ABS($E12)</f>
        <v>0.00360164627734481</v>
      </c>
    </row>
    <row r="13" customFormat="false" ht="15" hidden="false" customHeight="false" outlineLevel="0" collapsed="false">
      <c r="A13" s="2" t="n">
        <v>1</v>
      </c>
      <c r="B13" s="2" t="n">
        <v>2</v>
      </c>
      <c r="C13" s="2" t="n">
        <v>4.5</v>
      </c>
      <c r="D13" s="2" t="n">
        <v>7.5</v>
      </c>
      <c r="E13" s="13" t="n">
        <v>0.699154085169606</v>
      </c>
      <c r="F13" s="13" t="n">
        <v>0.701513473432467</v>
      </c>
      <c r="G13" s="13" t="n">
        <v>0.697962132077157</v>
      </c>
      <c r="H13" s="13" t="n">
        <v>0.704759926782153</v>
      </c>
      <c r="I13" s="13" t="n">
        <v>0.699252661692733</v>
      </c>
      <c r="J13" s="4" t="n">
        <f aca="false">F13-$E13</f>
        <v>0.00235938826286097</v>
      </c>
      <c r="K13" s="4" t="n">
        <f aca="false">G13-$E13</f>
        <v>-0.00119195309244924</v>
      </c>
      <c r="L13" s="4" t="n">
        <f aca="false">H13-$E13</f>
        <v>0.00560584161254718</v>
      </c>
      <c r="M13" s="4" t="n">
        <f aca="false">I13-$E13</f>
        <v>9.85765231273916E-005</v>
      </c>
      <c r="N13" s="5" t="n">
        <f aca="false">ABS(J13)/ABS($E13)</f>
        <v>0.00337463273534133</v>
      </c>
      <c r="O13" s="5" t="n">
        <f aca="false">ABS(K13)/ABS($E13)</f>
        <v>0.00170485035807248</v>
      </c>
      <c r="P13" s="5" t="n">
        <f aca="false">ABS(L13)/ABS($E13)</f>
        <v>0.00801803455269417</v>
      </c>
      <c r="Q13" s="5" t="n">
        <f aca="false">ABS(M13)/ABS($E13)</f>
        <v>0.000140993988619087</v>
      </c>
    </row>
    <row r="14" customFormat="false" ht="15" hidden="false" customHeight="false" outlineLevel="0" collapsed="false">
      <c r="A14" s="2" t="n">
        <v>2</v>
      </c>
      <c r="B14" s="2" t="n">
        <v>2</v>
      </c>
      <c r="C14" s="2" t="n">
        <v>7.5</v>
      </c>
      <c r="D14" s="2" t="n">
        <v>7.5</v>
      </c>
      <c r="E14" s="13" t="n">
        <v>0.498365457117045</v>
      </c>
      <c r="F14" s="13" t="n">
        <v>0.498172494927041</v>
      </c>
      <c r="G14" s="13" t="n">
        <v>0.495974634061026</v>
      </c>
      <c r="H14" s="13" t="n">
        <v>0.496680127671245</v>
      </c>
      <c r="I14" s="13" t="n">
        <v>0.492619974353263</v>
      </c>
      <c r="J14" s="4" t="n">
        <f aca="false">F14-$E14</f>
        <v>-0.000192962190004031</v>
      </c>
      <c r="K14" s="4" t="n">
        <f aca="false">G14-$E14</f>
        <v>-0.0023908230560184</v>
      </c>
      <c r="L14" s="4" t="n">
        <f aca="false">H14-$E14</f>
        <v>-0.00168532944579952</v>
      </c>
      <c r="M14" s="4" t="n">
        <f aca="false">I14-$E14</f>
        <v>-0.0057454827637814</v>
      </c>
      <c r="N14" s="5" t="n">
        <f aca="false">ABS(J14)/ABS($E14)</f>
        <v>0.000387190137776168</v>
      </c>
      <c r="O14" s="5" t="n">
        <f aca="false">ABS(K14)/ABS($E14)</f>
        <v>0.0047973289919588</v>
      </c>
      <c r="P14" s="5" t="n">
        <f aca="false">ABS(L14)/ABS($E14)</f>
        <v>0.00338171400471624</v>
      </c>
      <c r="Q14" s="5" t="n">
        <f aca="false">ABS(M14)/ABS($E14)</f>
        <v>0.0115286536852253</v>
      </c>
    </row>
    <row r="15" customFormat="false" ht="15" hidden="false" customHeight="false" outlineLevel="0" collapsed="false">
      <c r="A15" s="2" t="n">
        <v>3</v>
      </c>
      <c r="B15" s="2" t="n">
        <v>2</v>
      </c>
      <c r="C15" s="2" t="n">
        <v>10.5</v>
      </c>
      <c r="D15" s="2" t="n">
        <v>7.5</v>
      </c>
      <c r="E15" s="13" t="n">
        <v>0.296956305181986</v>
      </c>
      <c r="F15" s="13" t="n">
        <v>0.295064510608666</v>
      </c>
      <c r="G15" s="13" t="n">
        <v>0.299945013994597</v>
      </c>
      <c r="H15" s="13" t="n">
        <v>0.291218724378974</v>
      </c>
      <c r="I15" s="13" t="n">
        <v>0.291150921158702</v>
      </c>
      <c r="J15" s="4" t="n">
        <f aca="false">F15-$E15</f>
        <v>-0.00189179457332012</v>
      </c>
      <c r="K15" s="4" t="n">
        <f aca="false">G15-$E15</f>
        <v>0.00298870881261099</v>
      </c>
      <c r="L15" s="4" t="n">
        <f aca="false">H15-$E15</f>
        <v>-0.00573758080301201</v>
      </c>
      <c r="M15" s="4" t="n">
        <f aca="false">I15-$E15</f>
        <v>-0.00580538402328351</v>
      </c>
      <c r="N15" s="5" t="n">
        <f aca="false">ABS(J15)/ABS($E15)</f>
        <v>0.00637061594688402</v>
      </c>
      <c r="O15" s="5" t="n">
        <f aca="false">ABS(K15)/ABS($E15)</f>
        <v>0.010064473326402</v>
      </c>
      <c r="P15" s="5" t="n">
        <f aca="false">ABS(L15)/ABS($E15)</f>
        <v>0.0193212964429087</v>
      </c>
      <c r="Q15" s="5" t="n">
        <f aca="false">ABS(M15)/ABS($E15)</f>
        <v>0.0195496237055002</v>
      </c>
    </row>
    <row r="16" customFormat="false" ht="15" hidden="false" customHeight="false" outlineLevel="0" collapsed="false">
      <c r="A16" s="2" t="n">
        <v>4</v>
      </c>
      <c r="B16" s="2" t="n">
        <v>2</v>
      </c>
      <c r="C16" s="2" t="n">
        <v>13.5</v>
      </c>
      <c r="D16" s="2" t="n">
        <v>7.5</v>
      </c>
      <c r="E16" s="13" t="n">
        <v>0.0982777543523211</v>
      </c>
      <c r="F16" s="13" t="n">
        <v>0.095342615200946</v>
      </c>
      <c r="G16" s="13" t="n">
        <v>0.0979347591425531</v>
      </c>
      <c r="H16" s="13" t="n">
        <v>0.0900692746763864</v>
      </c>
      <c r="I16" s="13" t="n">
        <v>0.0945981020706439</v>
      </c>
      <c r="J16" s="4" t="n">
        <f aca="false">F16-$E16</f>
        <v>-0.00293513915137518</v>
      </c>
      <c r="K16" s="4" t="n">
        <f aca="false">G16-$E16</f>
        <v>-0.000342995209768063</v>
      </c>
      <c r="L16" s="4" t="n">
        <f aca="false">H16-$E16</f>
        <v>-0.00820847967593469</v>
      </c>
      <c r="M16" s="4" t="n">
        <f aca="false">I16-$E16</f>
        <v>-0.00367965228167726</v>
      </c>
      <c r="N16" s="5" t="n">
        <f aca="false">ABS(J16)/ABS($E16)</f>
        <v>0.0298657531474808</v>
      </c>
      <c r="O16" s="5" t="n">
        <f aca="false">ABS(K16)/ABS($E16)</f>
        <v>0.00349005949544229</v>
      </c>
      <c r="P16" s="5" t="n">
        <f aca="false">ABS(L16)/ABS($E16)</f>
        <v>0.0835232726880152</v>
      </c>
      <c r="Q16" s="5" t="n">
        <f aca="false">ABS(M16)/ABS($E16)</f>
        <v>0.0374413549223548</v>
      </c>
    </row>
    <row r="17" customFormat="false" ht="15" hidden="false" customHeight="false" outlineLevel="0" collapsed="false">
      <c r="A17" s="2" t="n">
        <v>0</v>
      </c>
      <c r="B17" s="2" t="n">
        <v>3</v>
      </c>
      <c r="C17" s="2" t="n">
        <v>1.5</v>
      </c>
      <c r="D17" s="2" t="n">
        <v>10.5</v>
      </c>
      <c r="E17" s="13" t="n">
        <v>0.899300386260762</v>
      </c>
      <c r="F17" s="13" t="n">
        <v>0.902879276047636</v>
      </c>
      <c r="G17" s="13" t="n">
        <v>0.908254166521438</v>
      </c>
      <c r="H17" s="13" t="n">
        <v>0.907564051485626</v>
      </c>
      <c r="I17" s="13" t="n">
        <v>0.902643702067325</v>
      </c>
      <c r="J17" s="4" t="n">
        <f aca="false">F17-$E17</f>
        <v>0.00357888978687404</v>
      </c>
      <c r="K17" s="4" t="n">
        <f aca="false">G17-$E17</f>
        <v>0.00895378026067628</v>
      </c>
      <c r="L17" s="4" t="n">
        <f aca="false">H17-$E17</f>
        <v>0.0082636652248641</v>
      </c>
      <c r="M17" s="4" t="n">
        <f aca="false">I17-$E17</f>
        <v>0.00334331580656333</v>
      </c>
      <c r="N17" s="5" t="n">
        <f aca="false">ABS(J17)/ABS($E17)</f>
        <v>0.00397963777348618</v>
      </c>
      <c r="O17" s="5" t="n">
        <f aca="false">ABS(K17)/ABS($E17)</f>
        <v>0.00995638431548503</v>
      </c>
      <c r="P17" s="5" t="n">
        <f aca="false">ABS(L17)/ABS($E17)</f>
        <v>0.0091889933009191</v>
      </c>
      <c r="Q17" s="5" t="n">
        <f aca="false">ABS(M17)/ABS($E17)</f>
        <v>0.00371768527806892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4.5</v>
      </c>
      <c r="D18" s="2" t="n">
        <v>10.5</v>
      </c>
      <c r="E18" s="13" t="n">
        <v>0.699337345462439</v>
      </c>
      <c r="F18" s="13" t="n">
        <v>0.700939638239959</v>
      </c>
      <c r="G18" s="13" t="n">
        <v>0.713533605769767</v>
      </c>
      <c r="H18" s="13" t="n">
        <v>0.701037710919177</v>
      </c>
      <c r="I18" s="13" t="n">
        <v>0.700570885343776</v>
      </c>
      <c r="J18" s="4" t="n">
        <f aca="false">F18-$E18</f>
        <v>0.00160229277752022</v>
      </c>
      <c r="K18" s="4" t="n">
        <f aca="false">G18-$E18</f>
        <v>0.0141962603073282</v>
      </c>
      <c r="L18" s="4" t="n">
        <f aca="false">H18-$E18</f>
        <v>0.0017003654567388</v>
      </c>
      <c r="M18" s="4" t="n">
        <f aca="false">I18-$E18</f>
        <v>0.00123353988133712</v>
      </c>
      <c r="N18" s="5" t="n">
        <f aca="false">ABS(J18)/ABS($E18)</f>
        <v>0.00229115860595247</v>
      </c>
      <c r="O18" s="5" t="n">
        <f aca="false">ABS(K18)/ABS($E18)</f>
        <v>0.0202995884596166</v>
      </c>
      <c r="P18" s="5" t="n">
        <f aca="false">ABS(L18)/ABS($E18)</f>
        <v>0.00243139518827559</v>
      </c>
      <c r="Q18" s="5" t="n">
        <f aca="false">ABS(M18)/ABS($E18)</f>
        <v>0.00176386959646984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7.5</v>
      </c>
      <c r="D19" s="2" t="n">
        <v>10.5</v>
      </c>
      <c r="E19" s="13" t="n">
        <v>0.496629389921895</v>
      </c>
      <c r="F19" s="13" t="n">
        <v>0.496086161288473</v>
      </c>
      <c r="G19" s="13" t="n">
        <v>0.485161530226039</v>
      </c>
      <c r="H19" s="13" t="n">
        <v>0.492170722922434</v>
      </c>
      <c r="I19" s="13" t="n">
        <v>0.493886552227827</v>
      </c>
      <c r="J19" s="4" t="n">
        <f aca="false">F19-$E19</f>
        <v>-0.000543228633422321</v>
      </c>
      <c r="K19" s="4" t="n">
        <f aca="false">G19-$E19</f>
        <v>-0.0114678596958557</v>
      </c>
      <c r="L19" s="4" t="n">
        <f aca="false">H19-$E19</f>
        <v>-0.00445866699946129</v>
      </c>
      <c r="M19" s="4" t="n">
        <f aca="false">I19-$E19</f>
        <v>-0.0027428376940683</v>
      </c>
      <c r="N19" s="5" t="n">
        <f aca="false">ABS(J19)/ABS($E19)</f>
        <v>0.00109383102258156</v>
      </c>
      <c r="O19" s="5" t="n">
        <f aca="false">ABS(K19)/ABS($E19)</f>
        <v>0.0230913834915394</v>
      </c>
      <c r="P19" s="5" t="n">
        <f aca="false">ABS(L19)/ABS($E19)</f>
        <v>0.00897785570073191</v>
      </c>
      <c r="Q19" s="5" t="n">
        <f aca="false">ABS(M19)/ABS($E19)</f>
        <v>0.00552290651686898</v>
      </c>
    </row>
    <row r="20" customFormat="false" ht="15" hidden="false" customHeight="false" outlineLevel="0" collapsed="false">
      <c r="A20" s="2" t="n">
        <v>3</v>
      </c>
      <c r="B20" s="2" t="n">
        <v>3</v>
      </c>
      <c r="C20" s="2" t="n">
        <v>10.5</v>
      </c>
      <c r="D20" s="2" t="n">
        <v>10.5</v>
      </c>
      <c r="E20" s="13" t="n">
        <v>0.295293758512131</v>
      </c>
      <c r="F20" s="13" t="n">
        <v>0.293603436915568</v>
      </c>
      <c r="G20" s="13" t="n">
        <v>0.283852772033381</v>
      </c>
      <c r="H20" s="13" t="n">
        <v>0.288505747022716</v>
      </c>
      <c r="I20" s="13" t="n">
        <v>0.289928905656653</v>
      </c>
      <c r="J20" s="4" t="n">
        <f aca="false">F20-$E20</f>
        <v>-0.00169032159656318</v>
      </c>
      <c r="K20" s="4" t="n">
        <f aca="false">G20-$E20</f>
        <v>-0.0114409864787497</v>
      </c>
      <c r="L20" s="4" t="n">
        <f aca="false">H20-$E20</f>
        <v>-0.0067880114894151</v>
      </c>
      <c r="M20" s="4" t="n">
        <f aca="false">I20-$E20</f>
        <v>-0.00536485285547761</v>
      </c>
      <c r="N20" s="5" t="n">
        <f aca="false">ABS(J20)/ABS($E20)</f>
        <v>0.00572420360348979</v>
      </c>
      <c r="O20" s="5" t="n">
        <f aca="false">ABS(K20)/ABS($E20)</f>
        <v>0.0387444236423971</v>
      </c>
      <c r="P20" s="5" t="n">
        <f aca="false">ABS(L20)/ABS($E20)</f>
        <v>0.0229873178614314</v>
      </c>
      <c r="Q20" s="5" t="n">
        <f aca="false">ABS(M20)/ABS($E20)</f>
        <v>0.0181678504906741</v>
      </c>
    </row>
    <row r="21" customFormat="false" ht="15" hidden="false" customHeight="false" outlineLevel="0" collapsed="false">
      <c r="A21" s="2" t="n">
        <v>4</v>
      </c>
      <c r="B21" s="2" t="n">
        <v>3</v>
      </c>
      <c r="C21" s="2" t="n">
        <v>13.5</v>
      </c>
      <c r="D21" s="2" t="n">
        <v>10.5</v>
      </c>
      <c r="E21" s="13" t="n">
        <v>0.0995131210494986</v>
      </c>
      <c r="F21" s="13" t="n">
        <v>0.0955726107015215</v>
      </c>
      <c r="G21" s="13" t="n">
        <v>0.0976162712255737</v>
      </c>
      <c r="H21" s="13" t="n">
        <v>0.0900797076579171</v>
      </c>
      <c r="I21" s="13" t="n">
        <v>0.0939444181133172</v>
      </c>
      <c r="J21" s="4" t="n">
        <f aca="false">F21-$E21</f>
        <v>-0.00394051034797704</v>
      </c>
      <c r="K21" s="4" t="n">
        <f aca="false">G21-$E21</f>
        <v>-0.00189684982392484</v>
      </c>
      <c r="L21" s="4" t="n">
        <f aca="false">H21-$E21</f>
        <v>-0.00943341339158152</v>
      </c>
      <c r="M21" s="4" t="n">
        <f aca="false">I21-$E21</f>
        <v>-0.00556870293618134</v>
      </c>
      <c r="N21" s="5" t="n">
        <f aca="false">ABS(J21)/ABS($E21)</f>
        <v>0.0395978973065974</v>
      </c>
      <c r="O21" s="5" t="n">
        <f aca="false">ABS(K21)/ABS($E21)</f>
        <v>0.0190613037147265</v>
      </c>
      <c r="P21" s="5" t="n">
        <f aca="false">ABS(L21)/ABS($E21)</f>
        <v>0.0947956740989891</v>
      </c>
      <c r="Q21" s="5" t="n">
        <f aca="false">ABS(M21)/ABS($E21)</f>
        <v>0.0559594843117364</v>
      </c>
    </row>
    <row r="22" customFormat="false" ht="15" hidden="false" customHeight="false" outlineLevel="0" collapsed="false">
      <c r="A22" s="2" t="n">
        <v>0</v>
      </c>
      <c r="B22" s="2" t="n">
        <v>4</v>
      </c>
      <c r="C22" s="2" t="n">
        <v>1.5</v>
      </c>
      <c r="D22" s="2" t="n">
        <v>13.5</v>
      </c>
      <c r="E22" s="13" t="n">
        <v>0.898249870411517</v>
      </c>
      <c r="F22" s="13" t="n">
        <v>0.901468429488474</v>
      </c>
      <c r="G22" s="13" t="n">
        <v>0.908827093714451</v>
      </c>
      <c r="H22" s="13" t="n">
        <v>0.906515120828127</v>
      </c>
      <c r="I22" s="13" t="n">
        <v>0.900757743316094</v>
      </c>
      <c r="J22" s="4" t="n">
        <f aca="false">F22-$E22</f>
        <v>0.00321855907695701</v>
      </c>
      <c r="K22" s="4" t="n">
        <f aca="false">G22-$E22</f>
        <v>0.0105772233029335</v>
      </c>
      <c r="L22" s="4" t="n">
        <f aca="false">H22-$E22</f>
        <v>0.00826525041660953</v>
      </c>
      <c r="M22" s="4" t="n">
        <f aca="false">I22-$E22</f>
        <v>0.00250787290457621</v>
      </c>
      <c r="N22" s="5" t="n">
        <f aca="false">ABS(J22)/ABS($E22)</f>
        <v>0.00358314449350544</v>
      </c>
      <c r="O22" s="5" t="n">
        <f aca="false">ABS(K22)/ABS($E22)</f>
        <v>0.011775368582116</v>
      </c>
      <c r="P22" s="5" t="n">
        <f aca="false">ABS(L22)/ABS($E22)</f>
        <v>0.00920150471363046</v>
      </c>
      <c r="Q22" s="5" t="n">
        <f aca="false">ABS(M22)/ABS($E22)</f>
        <v>0.00279195465224757</v>
      </c>
    </row>
    <row r="23" customFormat="false" ht="15" hidden="false" customHeight="false" outlineLevel="0" collapsed="false">
      <c r="A23" s="2" t="n">
        <v>1</v>
      </c>
      <c r="B23" s="2" t="n">
        <v>4</v>
      </c>
      <c r="C23" s="2" t="n">
        <v>4.5</v>
      </c>
      <c r="D23" s="2" t="n">
        <v>13.5</v>
      </c>
      <c r="E23" s="13" t="n">
        <v>0.698362790077692</v>
      </c>
      <c r="F23" s="13" t="n">
        <v>0.699714395643681</v>
      </c>
      <c r="G23" s="13" t="n">
        <v>0.714905309771201</v>
      </c>
      <c r="H23" s="13" t="n">
        <v>0.700184470208825</v>
      </c>
      <c r="I23" s="13" t="n">
        <v>0.69929400354261</v>
      </c>
      <c r="J23" s="4" t="n">
        <f aca="false">F23-$E23</f>
        <v>0.00135160556598812</v>
      </c>
      <c r="K23" s="4" t="n">
        <f aca="false">G23-$E23</f>
        <v>0.0165425196935086</v>
      </c>
      <c r="L23" s="4" t="n">
        <f aca="false">H23-$E23</f>
        <v>0.00182168013113249</v>
      </c>
      <c r="M23" s="4" t="n">
        <f aca="false">I23-$E23</f>
        <v>0.000931213464917535</v>
      </c>
      <c r="N23" s="5" t="n">
        <f aca="false">ABS(J23)/ABS($E23)</f>
        <v>0.00193539172646606</v>
      </c>
      <c r="O23" s="5" t="n">
        <f aca="false">ABS(K23)/ABS($E23)</f>
        <v>0.0236875731762116</v>
      </c>
      <c r="P23" s="5" t="n">
        <f aca="false">ABS(L23)/ABS($E23)</f>
        <v>0.00260850113582057</v>
      </c>
      <c r="Q23" s="5" t="n">
        <f aca="false">ABS(M23)/ABS($E23)</f>
        <v>0.00133342365622593</v>
      </c>
    </row>
    <row r="24" customFormat="false" ht="15" hidden="false" customHeight="false" outlineLevel="0" collapsed="false">
      <c r="A24" s="2" t="n">
        <v>2</v>
      </c>
      <c r="B24" s="2" t="n">
        <v>4</v>
      </c>
      <c r="C24" s="2" t="n">
        <v>7.5</v>
      </c>
      <c r="D24" s="2" t="n">
        <v>13.5</v>
      </c>
      <c r="E24" s="13" t="n">
        <v>0.49679500141188</v>
      </c>
      <c r="F24" s="13" t="n">
        <v>0.496133976294641</v>
      </c>
      <c r="G24" s="13" t="n">
        <v>0.490953028912411</v>
      </c>
      <c r="H24" s="13" t="n">
        <v>0.490067914787338</v>
      </c>
      <c r="I24" s="13" t="n">
        <v>0.495202665763331</v>
      </c>
      <c r="J24" s="4" t="n">
        <f aca="false">F24-$E24</f>
        <v>-0.000661025117239311</v>
      </c>
      <c r="K24" s="4" t="n">
        <f aca="false">G24-$E24</f>
        <v>-0.00584197249946888</v>
      </c>
      <c r="L24" s="4" t="n">
        <f aca="false">H24-$E24</f>
        <v>-0.00672708662454263</v>
      </c>
      <c r="M24" s="4" t="n">
        <f aca="false">I24-$E24</f>
        <v>-0.00159233564854899</v>
      </c>
      <c r="N24" s="5" t="n">
        <f aca="false">ABS(J24)/ABS($E24)</f>
        <v>0.00133057924367333</v>
      </c>
      <c r="O24" s="5" t="n">
        <f aca="false">ABS(K24)/ABS($E24)</f>
        <v>0.01175932222117</v>
      </c>
      <c r="P24" s="5" t="n">
        <f aca="false">ABS(L24)/ABS($E24)</f>
        <v>0.0135409708338941</v>
      </c>
      <c r="Q24" s="5" t="n">
        <f aca="false">ABS(M24)/ABS($E24)</f>
        <v>0.00320521672726902</v>
      </c>
    </row>
    <row r="25" customFormat="false" ht="15" hidden="false" customHeight="false" outlineLevel="0" collapsed="false">
      <c r="A25" s="2" t="n">
        <v>3</v>
      </c>
      <c r="B25" s="2" t="n">
        <v>4</v>
      </c>
      <c r="C25" s="2" t="n">
        <v>10.5</v>
      </c>
      <c r="D25" s="2" t="n">
        <v>13.5</v>
      </c>
      <c r="E25" s="13" t="n">
        <v>0.296075581194953</v>
      </c>
      <c r="F25" s="13" t="n">
        <v>0.294332278673865</v>
      </c>
      <c r="G25" s="13" t="n">
        <v>0.288019075971115</v>
      </c>
      <c r="H25" s="13" t="n">
        <v>0.286811853757751</v>
      </c>
      <c r="I25" s="13" t="n">
        <v>0.290052900399286</v>
      </c>
      <c r="J25" s="4" t="n">
        <f aca="false">F25-$E25</f>
        <v>-0.00174330252108768</v>
      </c>
      <c r="K25" s="4" t="n">
        <f aca="false">G25-$E25</f>
        <v>-0.00805650522383811</v>
      </c>
      <c r="L25" s="4" t="n">
        <f aca="false">H25-$E25</f>
        <v>-0.00926372743720161</v>
      </c>
      <c r="M25" s="4" t="n">
        <f aca="false">I25-$E25</f>
        <v>-0.00602268079566637</v>
      </c>
      <c r="N25" s="5" t="n">
        <f aca="false">ABS(J25)/ABS($E25)</f>
        <v>0.00588803208306391</v>
      </c>
      <c r="O25" s="5" t="n">
        <f aca="false">ABS(K25)/ABS($E25)</f>
        <v>0.0272109749521466</v>
      </c>
      <c r="P25" s="5" t="n">
        <f aca="false">ABS(L25)/ABS($E25)</f>
        <v>0.0312883872415735</v>
      </c>
      <c r="Q25" s="5" t="n">
        <f aca="false">ABS(M25)/ABS($E25)</f>
        <v>0.0203417004920129</v>
      </c>
    </row>
    <row r="26" customFormat="false" ht="15" hidden="false" customHeight="false" outlineLevel="0" collapsed="false">
      <c r="A26" s="2" t="n">
        <v>4</v>
      </c>
      <c r="B26" s="2" t="n">
        <v>4</v>
      </c>
      <c r="C26" s="2" t="n">
        <v>13.5</v>
      </c>
      <c r="D26" s="2" t="n">
        <v>13.5</v>
      </c>
      <c r="E26" s="13" t="n">
        <v>0.100327036018498</v>
      </c>
      <c r="F26" s="13" t="n">
        <v>0.096437357376601</v>
      </c>
      <c r="G26" s="13" t="n">
        <v>0.0996005957480576</v>
      </c>
      <c r="H26" s="13" t="n">
        <v>0.0903024591892682</v>
      </c>
      <c r="I26" s="13" t="n">
        <v>0.0935801842797627</v>
      </c>
      <c r="J26" s="4" t="n">
        <f aca="false">F26-$E26</f>
        <v>-0.00388967864189657</v>
      </c>
      <c r="K26" s="4" t="n">
        <f aca="false">G26-$E26</f>
        <v>-0.000726440270439971</v>
      </c>
      <c r="L26" s="4" t="n">
        <f aca="false">H26-$E26</f>
        <v>-0.0100245768292294</v>
      </c>
      <c r="M26" s="4" t="n">
        <f aca="false">I26-$E26</f>
        <v>-0.00674685173873491</v>
      </c>
      <c r="N26" s="5" t="n">
        <f aca="false">ABS(J26)/ABS($E26)</f>
        <v>0.0387699945723446</v>
      </c>
      <c r="O26" s="5" t="n">
        <f aca="false">ABS(K26)/ABS($E26)</f>
        <v>0.00724072293241111</v>
      </c>
      <c r="P26" s="5" t="n">
        <f aca="false">ABS(L26)/ABS($E26)</f>
        <v>0.0999189971821865</v>
      </c>
      <c r="Q26" s="5" t="n">
        <f aca="false">ABS(M26)/ABS($E26)</f>
        <v>0.0672485902752172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17" min="5" style="0" width="13"/>
  </cols>
  <sheetData>
    <row r="1" customFormat="false" ht="42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1.5</v>
      </c>
      <c r="D2" s="2" t="n">
        <v>1.5</v>
      </c>
      <c r="E2" s="13" t="n">
        <v>0.0569126764624409</v>
      </c>
      <c r="F2" s="13" t="n">
        <v>0.0490055853882019</v>
      </c>
      <c r="G2" s="13" t="n">
        <v>0.0369191360861694</v>
      </c>
      <c r="H2" s="13" t="n">
        <v>0.0387979452740479</v>
      </c>
      <c r="I2" s="13" t="n">
        <v>0.0482564188841509</v>
      </c>
      <c r="J2" s="4" t="n">
        <f aca="false">F2-$E2</f>
        <v>-0.00790709107423902</v>
      </c>
      <c r="K2" s="4" t="n">
        <f aca="false">G2-$E2</f>
        <v>-0.0199935403762715</v>
      </c>
      <c r="L2" s="4" t="n">
        <f aca="false">H2-$E2</f>
        <v>-0.018114731188393</v>
      </c>
      <c r="M2" s="4" t="n">
        <f aca="false">I2-$E2</f>
        <v>-0.00865625757828993</v>
      </c>
      <c r="N2" s="5" t="n">
        <f aca="false">ABS(J2)/ABS($E2)</f>
        <v>0.138933741403943</v>
      </c>
      <c r="O2" s="5" t="n">
        <f aca="false">ABS(K2)/ABS($E2)</f>
        <v>0.351302058153356</v>
      </c>
      <c r="P2" s="5" t="n">
        <f aca="false">ABS(L2)/ABS($E2)</f>
        <v>0.318289919124567</v>
      </c>
      <c r="Q2" s="5" t="n">
        <f aca="false">ABS(M2)/ABS($E2)</f>
        <v>0.152097179685488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4.5</v>
      </c>
      <c r="D3" s="2" t="n">
        <v>1.5</v>
      </c>
      <c r="E3" s="13" t="n">
        <v>0.117351260998589</v>
      </c>
      <c r="F3" s="13" t="n">
        <v>0.108505220049409</v>
      </c>
      <c r="G3" s="13" t="n">
        <v>0.0831829644448198</v>
      </c>
      <c r="H3" s="13" t="n">
        <v>0.0795226067598079</v>
      </c>
      <c r="I3" s="13" t="n">
        <v>0.10814115072053</v>
      </c>
      <c r="J3" s="4" t="n">
        <f aca="false">F3-$E3</f>
        <v>-0.00884604094918021</v>
      </c>
      <c r="K3" s="4" t="n">
        <f aca="false">G3-$E3</f>
        <v>-0.0341682965537691</v>
      </c>
      <c r="L3" s="4" t="n">
        <f aca="false">H3-$E3</f>
        <v>-0.037828654238781</v>
      </c>
      <c r="M3" s="4" t="n">
        <f aca="false">I3-$E3</f>
        <v>-0.00921011027805861</v>
      </c>
      <c r="N3" s="5" t="n">
        <f aca="false">ABS(J3)/ABS($E3)</f>
        <v>0.0753808768129605</v>
      </c>
      <c r="O3" s="5" t="n">
        <f aca="false">ABS(K3)/ABS($E3)</f>
        <v>0.291162585412524</v>
      </c>
      <c r="P3" s="5" t="n">
        <f aca="false">ABS(L3)/ABS($E3)</f>
        <v>0.322354049857512</v>
      </c>
      <c r="Q3" s="5" t="n">
        <f aca="false">ABS(M3)/ABS($E3)</f>
        <v>0.0784832663891814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7.5</v>
      </c>
      <c r="D4" s="2" t="n">
        <v>1.5</v>
      </c>
      <c r="E4" s="13" t="n">
        <v>0.131667312759703</v>
      </c>
      <c r="F4" s="13" t="n">
        <v>0.124007544628886</v>
      </c>
      <c r="G4" s="13" t="n">
        <v>0.0881645345454266</v>
      </c>
      <c r="H4" s="13" t="n">
        <v>0.086384433248576</v>
      </c>
      <c r="I4" s="13" t="n">
        <v>0.122314205549475</v>
      </c>
      <c r="J4" s="4" t="n">
        <f aca="false">F4-$E4</f>
        <v>-0.00765976813081659</v>
      </c>
      <c r="K4" s="4" t="n">
        <f aca="false">G4-$E4</f>
        <v>-0.0435027782142763</v>
      </c>
      <c r="L4" s="4" t="n">
        <f aca="false">H4-$E4</f>
        <v>-0.0452828795111269</v>
      </c>
      <c r="M4" s="4" t="n">
        <f aca="false">I4-$E4</f>
        <v>-0.0093531072102276</v>
      </c>
      <c r="N4" s="5" t="n">
        <f aca="false">ABS(J4)/ABS($E4)</f>
        <v>0.05817516869047</v>
      </c>
      <c r="O4" s="5" t="n">
        <f aca="false">ABS(K4)/ABS($E4)</f>
        <v>0.330399225916233</v>
      </c>
      <c r="P4" s="5" t="n">
        <f aca="false">ABS(L4)/ABS($E4)</f>
        <v>0.34391891625957</v>
      </c>
      <c r="Q4" s="5" t="n">
        <f aca="false">ABS(M4)/ABS($E4)</f>
        <v>0.0710359087171265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10.5</v>
      </c>
      <c r="D5" s="2" t="n">
        <v>1.5</v>
      </c>
      <c r="E5" s="13" t="n">
        <v>0.114281817961021</v>
      </c>
      <c r="F5" s="13" t="n">
        <v>0.104980340228112</v>
      </c>
      <c r="G5" s="13" t="n">
        <v>0.0741657863772696</v>
      </c>
      <c r="H5" s="13" t="n">
        <v>0.0790764898075672</v>
      </c>
      <c r="I5" s="13" t="n">
        <v>0.103032564729392</v>
      </c>
      <c r="J5" s="4" t="n">
        <f aca="false">F5-$E5</f>
        <v>-0.0093014777329082</v>
      </c>
      <c r="K5" s="4" t="n">
        <f aca="false">G5-$E5</f>
        <v>-0.0401160315837509</v>
      </c>
      <c r="L5" s="4" t="n">
        <f aca="false">H5-$E5</f>
        <v>-0.0352053281534533</v>
      </c>
      <c r="M5" s="4" t="n">
        <f aca="false">I5-$E5</f>
        <v>-0.0112492532316287</v>
      </c>
      <c r="N5" s="5" t="n">
        <f aca="false">ABS(J5)/ABS($E5)</f>
        <v>0.081390705003317</v>
      </c>
      <c r="O5" s="5" t="n">
        <f aca="false">ABS(K5)/ABS($E5)</f>
        <v>0.351027243873857</v>
      </c>
      <c r="P5" s="5" t="n">
        <f aca="false">ABS(L5)/ABS($E5)</f>
        <v>0.308057123885282</v>
      </c>
      <c r="Q5" s="5" t="n">
        <f aca="false">ABS(M5)/ABS($E5)</f>
        <v>0.098434321682436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13.5</v>
      </c>
      <c r="D6" s="2" t="n">
        <v>1.5</v>
      </c>
      <c r="E6" s="13" t="n">
        <v>0.0517718121482061</v>
      </c>
      <c r="F6" s="13" t="n">
        <v>0.0460789916370521</v>
      </c>
      <c r="G6" s="13" t="n">
        <v>0.0346647869788469</v>
      </c>
      <c r="H6" s="13" t="n">
        <v>0.0396286808731105</v>
      </c>
      <c r="I6" s="13" t="n">
        <v>0.0456100984675904</v>
      </c>
      <c r="J6" s="4" t="n">
        <f aca="false">F6-$E6</f>
        <v>-0.00569282051115405</v>
      </c>
      <c r="K6" s="4" t="n">
        <f aca="false">G6-$E6</f>
        <v>-0.0171070251693593</v>
      </c>
      <c r="L6" s="4" t="n">
        <f aca="false">H6-$E6</f>
        <v>-0.0121431312750957</v>
      </c>
      <c r="M6" s="4" t="n">
        <f aca="false">I6-$E6</f>
        <v>-0.00616171368061574</v>
      </c>
      <c r="N6" s="5" t="n">
        <f aca="false">ABS(J6)/ABS($E6)</f>
        <v>0.109959846390104</v>
      </c>
      <c r="O6" s="5" t="n">
        <f aca="false">ABS(K6)/ABS($E6)</f>
        <v>0.33043126094152</v>
      </c>
      <c r="P6" s="5" t="n">
        <f aca="false">ABS(L6)/ABS($E6)</f>
        <v>0.23455101861866</v>
      </c>
      <c r="Q6" s="5" t="n">
        <f aca="false">ABS(M6)/ABS($E6)</f>
        <v>0.119016766555838</v>
      </c>
    </row>
    <row r="7" customFormat="false" ht="15" hidden="false" customHeight="false" outlineLevel="0" collapsed="false">
      <c r="A7" s="2" t="n">
        <v>0</v>
      </c>
      <c r="B7" s="2" t="n">
        <v>1</v>
      </c>
      <c r="C7" s="2" t="n">
        <v>1.5</v>
      </c>
      <c r="D7" s="2" t="n">
        <v>4.5</v>
      </c>
      <c r="E7" s="13" t="n">
        <v>0.0522646653620137</v>
      </c>
      <c r="F7" s="13" t="n">
        <v>0.0458976739944335</v>
      </c>
      <c r="G7" s="13" t="n">
        <v>0.034833485254123</v>
      </c>
      <c r="H7" s="13" t="n">
        <v>0.0348021076883666</v>
      </c>
      <c r="I7" s="13" t="n">
        <v>0.0469491149429563</v>
      </c>
      <c r="J7" s="4" t="n">
        <f aca="false">F7-$E7</f>
        <v>-0.00636699136758021</v>
      </c>
      <c r="K7" s="4" t="n">
        <f aca="false">G7-$E7</f>
        <v>-0.0174311801078907</v>
      </c>
      <c r="L7" s="4" t="n">
        <f aca="false">H7-$E7</f>
        <v>-0.0174625576736471</v>
      </c>
      <c r="M7" s="4" t="n">
        <f aca="false">I7-$E7</f>
        <v>-0.00531555041905746</v>
      </c>
      <c r="N7" s="5" t="n">
        <f aca="false">ABS(J7)/ABS($E7)</f>
        <v>0.121822101480588</v>
      </c>
      <c r="O7" s="5" t="n">
        <f aca="false">ABS(K7)/ABS($E7)</f>
        <v>0.333517491926004</v>
      </c>
      <c r="P7" s="5" t="n">
        <f aca="false">ABS(L7)/ABS($E7)</f>
        <v>0.334117850993436</v>
      </c>
      <c r="Q7" s="5" t="n">
        <f aca="false">ABS(M7)/ABS($E7)</f>
        <v>0.101704476288885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4.5</v>
      </c>
      <c r="D8" s="2" t="n">
        <v>4.5</v>
      </c>
      <c r="E8" s="13" t="n">
        <v>0.111763306082275</v>
      </c>
      <c r="F8" s="13" t="n">
        <v>0.103707027349981</v>
      </c>
      <c r="G8" s="13" t="n">
        <v>0.0722483898191456</v>
      </c>
      <c r="H8" s="13" t="n">
        <v>0.0716295048839026</v>
      </c>
      <c r="I8" s="13" t="n">
        <v>0.105416838776731</v>
      </c>
      <c r="J8" s="4" t="n">
        <f aca="false">F8-$E8</f>
        <v>-0.00805627873229389</v>
      </c>
      <c r="K8" s="4" t="n">
        <f aca="false">G8-$E8</f>
        <v>-0.0395149162631295</v>
      </c>
      <c r="L8" s="4" t="n">
        <f aca="false">H8-$E8</f>
        <v>-0.0401338011983725</v>
      </c>
      <c r="M8" s="4" t="n">
        <f aca="false">I8-$E8</f>
        <v>-0.006346467305544</v>
      </c>
      <c r="N8" s="5" t="n">
        <f aca="false">ABS(J8)/ABS($E8)</f>
        <v>0.0720833967309738</v>
      </c>
      <c r="O8" s="5" t="n">
        <f aca="false">ABS(K8)/ABS($E8)</f>
        <v>0.353558942091785</v>
      </c>
      <c r="P8" s="5" t="n">
        <f aca="false">ABS(L8)/ABS($E8)</f>
        <v>0.359096402971721</v>
      </c>
      <c r="Q8" s="5" t="n">
        <f aca="false">ABS(M8)/ABS($E8)</f>
        <v>0.0567848923587856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7.5</v>
      </c>
      <c r="D9" s="2" t="n">
        <v>4.5</v>
      </c>
      <c r="E9" s="13" t="n">
        <v>0.127471960739212</v>
      </c>
      <c r="F9" s="13" t="n">
        <v>0.119986337875548</v>
      </c>
      <c r="G9" s="13" t="n">
        <v>0.0763614573836218</v>
      </c>
      <c r="H9" s="13" t="n">
        <v>0.0779223079747392</v>
      </c>
      <c r="I9" s="13" t="n">
        <v>0.117037162002136</v>
      </c>
      <c r="J9" s="4" t="n">
        <f aca="false">F9-$E9</f>
        <v>-0.00748562286366408</v>
      </c>
      <c r="K9" s="4" t="n">
        <f aca="false">G9-$E9</f>
        <v>-0.0511105033555904</v>
      </c>
      <c r="L9" s="4" t="n">
        <f aca="false">H9-$E9</f>
        <v>-0.049549652764473</v>
      </c>
      <c r="M9" s="4" t="n">
        <f aca="false">I9-$E9</f>
        <v>-0.010434798737076</v>
      </c>
      <c r="N9" s="5" t="n">
        <f aca="false">ABS(J9)/ABS($E9)</f>
        <v>0.0587236818219067</v>
      </c>
      <c r="O9" s="5" t="n">
        <f aca="false">ABS(K9)/ABS($E9)</f>
        <v>0.400954869284192</v>
      </c>
      <c r="P9" s="5" t="n">
        <f aca="false">ABS(L9)/ABS($E9)</f>
        <v>0.388710211070213</v>
      </c>
      <c r="Q9" s="5" t="n">
        <f aca="false">ABS(M9)/ABS($E9)</f>
        <v>0.081859560930611</v>
      </c>
    </row>
    <row r="10" customFormat="false" ht="15" hidden="false" customHeight="false" outlineLevel="0" collapsed="false">
      <c r="A10" s="2" t="n">
        <v>3</v>
      </c>
      <c r="B10" s="2" t="n">
        <v>1</v>
      </c>
      <c r="C10" s="2" t="n">
        <v>10.5</v>
      </c>
      <c r="D10" s="2" t="n">
        <v>4.5</v>
      </c>
      <c r="E10" s="13" t="n">
        <v>0.109472349965245</v>
      </c>
      <c r="F10" s="13" t="n">
        <v>0.101235235857064</v>
      </c>
      <c r="G10" s="13" t="n">
        <v>0.0859020755843682</v>
      </c>
      <c r="H10" s="13" t="n">
        <v>0.0714691520838943</v>
      </c>
      <c r="I10" s="13" t="n">
        <v>0.0969570070730898</v>
      </c>
      <c r="J10" s="4" t="n">
        <f aca="false">F10-$E10</f>
        <v>-0.00823711410818169</v>
      </c>
      <c r="K10" s="4" t="n">
        <f aca="false">G10-$E10</f>
        <v>-0.0235702743808772</v>
      </c>
      <c r="L10" s="4" t="n">
        <f aca="false">H10-$E10</f>
        <v>-0.0380031978813511</v>
      </c>
      <c r="M10" s="4" t="n">
        <f aca="false">I10-$E10</f>
        <v>-0.0125153428921556</v>
      </c>
      <c r="N10" s="5" t="n">
        <f aca="false">ABS(J10)/ABS($E10)</f>
        <v>0.0752437863149622</v>
      </c>
      <c r="O10" s="5" t="n">
        <f aca="false">ABS(K10)/ABS($E10)</f>
        <v>0.215308015113955</v>
      </c>
      <c r="P10" s="5" t="n">
        <f aca="false">ABS(L10)/ABS($E10)</f>
        <v>0.347148827018111</v>
      </c>
      <c r="Q10" s="5" t="n">
        <f aca="false">ABS(M10)/ABS($E10)</f>
        <v>0.114324237089356</v>
      </c>
    </row>
    <row r="11" customFormat="false" ht="15" hidden="false" customHeight="false" outlineLevel="0" collapsed="false">
      <c r="A11" s="2" t="n">
        <v>4</v>
      </c>
      <c r="B11" s="2" t="n">
        <v>1</v>
      </c>
      <c r="C11" s="2" t="n">
        <v>13.5</v>
      </c>
      <c r="D11" s="2" t="n">
        <v>4.5</v>
      </c>
      <c r="E11" s="13" t="n">
        <v>0.0487270704613351</v>
      </c>
      <c r="F11" s="13" t="n">
        <v>0.0435790279149719</v>
      </c>
      <c r="G11" s="13" t="n">
        <v>0.0396502812264672</v>
      </c>
      <c r="H11" s="13" t="n">
        <v>0.0355539451308883</v>
      </c>
      <c r="I11" s="13" t="n">
        <v>0.0425621213994215</v>
      </c>
      <c r="J11" s="4" t="n">
        <f aca="false">F11-$E11</f>
        <v>-0.00514804254636316</v>
      </c>
      <c r="K11" s="4" t="n">
        <f aca="false">G11-$E11</f>
        <v>-0.00907678923486787</v>
      </c>
      <c r="L11" s="4" t="n">
        <f aca="false">H11-$E11</f>
        <v>-0.0131731253304468</v>
      </c>
      <c r="M11" s="4" t="n">
        <f aca="false">I11-$E11</f>
        <v>-0.00616494906191357</v>
      </c>
      <c r="N11" s="5" t="n">
        <f aca="false">ABS(J11)/ABS($E11)</f>
        <v>0.105650565437709</v>
      </c>
      <c r="O11" s="5" t="n">
        <f aca="false">ABS(K11)/ABS($E11)</f>
        <v>0.186278164251025</v>
      </c>
      <c r="P11" s="5" t="n">
        <f aca="false">ABS(L11)/ABS($E11)</f>
        <v>0.270345112187684</v>
      </c>
      <c r="Q11" s="5" t="n">
        <f aca="false">ABS(M11)/ABS($E11)</f>
        <v>0.12652000219889</v>
      </c>
    </row>
    <row r="12" customFormat="false" ht="15" hidden="false" customHeight="false" outlineLevel="0" collapsed="false">
      <c r="A12" s="2" t="n">
        <v>0</v>
      </c>
      <c r="B12" s="2" t="n">
        <v>2</v>
      </c>
      <c r="C12" s="2" t="n">
        <v>1.5</v>
      </c>
      <c r="D12" s="2" t="n">
        <v>7.5</v>
      </c>
      <c r="E12" s="13" t="n">
        <v>0.0494452086293927</v>
      </c>
      <c r="F12" s="13" t="n">
        <v>0.0433797983001994</v>
      </c>
      <c r="G12" s="13" t="n">
        <v>0.0307836381202887</v>
      </c>
      <c r="H12" s="13" t="n">
        <v>0.0339479296874912</v>
      </c>
      <c r="I12" s="13" t="n">
        <v>0.0450217121239104</v>
      </c>
      <c r="J12" s="4" t="n">
        <f aca="false">F12-$E12</f>
        <v>-0.00606541032919332</v>
      </c>
      <c r="K12" s="4" t="n">
        <f aca="false">G12-$E12</f>
        <v>-0.018661570509104</v>
      </c>
      <c r="L12" s="4" t="n">
        <f aca="false">H12-$E12</f>
        <v>-0.0154972789419015</v>
      </c>
      <c r="M12" s="4" t="n">
        <f aca="false">I12-$E12</f>
        <v>-0.00442349650548224</v>
      </c>
      <c r="N12" s="5" t="n">
        <f aca="false">ABS(J12)/ABS($E12)</f>
        <v>0.122669324234335</v>
      </c>
      <c r="O12" s="5" t="n">
        <f aca="false">ABS(K12)/ABS($E12)</f>
        <v>0.377419188358134</v>
      </c>
      <c r="P12" s="5" t="n">
        <f aca="false">ABS(L12)/ABS($E12)</f>
        <v>0.313423269341595</v>
      </c>
      <c r="Q12" s="5" t="n">
        <f aca="false">ABS(M12)/ABS($E12)</f>
        <v>0.0894625915857233</v>
      </c>
    </row>
    <row r="13" customFormat="false" ht="15" hidden="false" customHeight="false" outlineLevel="0" collapsed="false">
      <c r="A13" s="2" t="n">
        <v>1</v>
      </c>
      <c r="B13" s="2" t="n">
        <v>2</v>
      </c>
      <c r="C13" s="2" t="n">
        <v>4.5</v>
      </c>
      <c r="D13" s="2" t="n">
        <v>7.5</v>
      </c>
      <c r="E13" s="13" t="n">
        <v>0.107742689916813</v>
      </c>
      <c r="F13" s="13" t="n">
        <v>0.100029827498148</v>
      </c>
      <c r="G13" s="13" t="n">
        <v>0.0668189885708748</v>
      </c>
      <c r="H13" s="13" t="n">
        <v>0.0682902293220977</v>
      </c>
      <c r="I13" s="13" t="n">
        <v>0.10190499914669</v>
      </c>
      <c r="J13" s="4" t="n">
        <f aca="false">F13-$E13</f>
        <v>-0.00771286241866481</v>
      </c>
      <c r="K13" s="4" t="n">
        <f aca="false">G13-$E13</f>
        <v>-0.0409237013459381</v>
      </c>
      <c r="L13" s="4" t="n">
        <f aca="false">H13-$E13</f>
        <v>-0.0394524605947152</v>
      </c>
      <c r="M13" s="4" t="n">
        <f aca="false">I13-$E13</f>
        <v>-0.005837690770123</v>
      </c>
      <c r="N13" s="5" t="n">
        <f aca="false">ABS(J13)/ABS($E13)</f>
        <v>0.0715859463377036</v>
      </c>
      <c r="O13" s="5" t="n">
        <f aca="false">ABS(K13)/ABS($E13)</f>
        <v>0.379828101354578</v>
      </c>
      <c r="P13" s="5" t="n">
        <f aca="false">ABS(L13)/ABS($E13)</f>
        <v>0.366172968441535</v>
      </c>
      <c r="Q13" s="5" t="n">
        <f aca="false">ABS(M13)/ABS($E13)</f>
        <v>0.0541817804496085</v>
      </c>
    </row>
    <row r="14" customFormat="false" ht="15" hidden="false" customHeight="false" outlineLevel="0" collapsed="false">
      <c r="A14" s="2" t="n">
        <v>2</v>
      </c>
      <c r="B14" s="2" t="n">
        <v>2</v>
      </c>
      <c r="C14" s="2" t="n">
        <v>7.5</v>
      </c>
      <c r="D14" s="2" t="n">
        <v>7.5</v>
      </c>
      <c r="E14" s="13" t="n">
        <v>0.123840182035273</v>
      </c>
      <c r="F14" s="13" t="n">
        <v>0.116626424399594</v>
      </c>
      <c r="G14" s="13" t="n">
        <v>0.0716812899452452</v>
      </c>
      <c r="H14" s="13" t="n">
        <v>0.0745520861851413</v>
      </c>
      <c r="I14" s="13" t="n">
        <v>0.114021402250166</v>
      </c>
      <c r="J14" s="4" t="n">
        <f aca="false">F14-$E14</f>
        <v>-0.00721375763567861</v>
      </c>
      <c r="K14" s="4" t="n">
        <f aca="false">G14-$E14</f>
        <v>-0.0521588920900276</v>
      </c>
      <c r="L14" s="4" t="n">
        <f aca="false">H14-$E14</f>
        <v>-0.0492880958501315</v>
      </c>
      <c r="M14" s="4" t="n">
        <f aca="false">I14-$E14</f>
        <v>-0.00981877978510701</v>
      </c>
      <c r="N14" s="5" t="n">
        <f aca="false">ABS(J14)/ABS($E14)</f>
        <v>0.0582505412792752</v>
      </c>
      <c r="O14" s="5" t="n">
        <f aca="false">ABS(K14)/ABS($E14)</f>
        <v>0.421179065088676</v>
      </c>
      <c r="P14" s="5" t="n">
        <f aca="false">ABS(L14)/ABS($E14)</f>
        <v>0.397997604978431</v>
      </c>
      <c r="Q14" s="5" t="n">
        <f aca="false">ABS(M14)/ABS($E14)</f>
        <v>0.0792858959324718</v>
      </c>
    </row>
    <row r="15" customFormat="false" ht="15" hidden="false" customHeight="false" outlineLevel="0" collapsed="false">
      <c r="A15" s="2" t="n">
        <v>3</v>
      </c>
      <c r="B15" s="2" t="n">
        <v>2</v>
      </c>
      <c r="C15" s="2" t="n">
        <v>10.5</v>
      </c>
      <c r="D15" s="2" t="n">
        <v>7.5</v>
      </c>
      <c r="E15" s="13" t="n">
        <v>0.105089731794609</v>
      </c>
      <c r="F15" s="13" t="n">
        <v>0.0972785401458143</v>
      </c>
      <c r="G15" s="13" t="n">
        <v>0.068724049833651</v>
      </c>
      <c r="H15" s="13" t="n">
        <v>0.0687697620426812</v>
      </c>
      <c r="I15" s="13" t="n">
        <v>0.0930260589691738</v>
      </c>
      <c r="J15" s="4" t="n">
        <f aca="false">F15-$E15</f>
        <v>-0.00781119164879471</v>
      </c>
      <c r="K15" s="4" t="n">
        <f aca="false">G15-$E15</f>
        <v>-0.036365681960958</v>
      </c>
      <c r="L15" s="4" t="n">
        <f aca="false">H15-$E15</f>
        <v>-0.0363199697519278</v>
      </c>
      <c r="M15" s="4" t="n">
        <f aca="false">I15-$E15</f>
        <v>-0.0120636728254352</v>
      </c>
      <c r="N15" s="5" t="n">
        <f aca="false">ABS(J15)/ABS($E15)</f>
        <v>0.0743287808942283</v>
      </c>
      <c r="O15" s="5" t="n">
        <f aca="false">ABS(K15)/ABS($E15)</f>
        <v>0.346044102881833</v>
      </c>
      <c r="P15" s="5" t="n">
        <f aca="false">ABS(L15)/ABS($E15)</f>
        <v>0.345609120241289</v>
      </c>
      <c r="Q15" s="5" t="n">
        <f aca="false">ABS(M15)/ABS($E15)</f>
        <v>0.114794020494912</v>
      </c>
    </row>
    <row r="16" customFormat="false" ht="15" hidden="false" customHeight="false" outlineLevel="0" collapsed="false">
      <c r="A16" s="2" t="n">
        <v>4</v>
      </c>
      <c r="B16" s="2" t="n">
        <v>2</v>
      </c>
      <c r="C16" s="2" t="n">
        <v>13.5</v>
      </c>
      <c r="D16" s="2" t="n">
        <v>7.5</v>
      </c>
      <c r="E16" s="13" t="n">
        <v>0.0473013805896598</v>
      </c>
      <c r="F16" s="13" t="n">
        <v>0.0417543625461843</v>
      </c>
      <c r="G16" s="13" t="n">
        <v>0.0294227818416686</v>
      </c>
      <c r="H16" s="13" t="n">
        <v>0.0337730450799047</v>
      </c>
      <c r="I16" s="13" t="n">
        <v>0.0400908776289535</v>
      </c>
      <c r="J16" s="4" t="n">
        <f aca="false">F16-$E16</f>
        <v>-0.00554701804347554</v>
      </c>
      <c r="K16" s="4" t="n">
        <f aca="false">G16-$E16</f>
        <v>-0.0178785987479912</v>
      </c>
      <c r="L16" s="4" t="n">
        <f aca="false">H16-$E16</f>
        <v>-0.0135283355097552</v>
      </c>
      <c r="M16" s="4" t="n">
        <f aca="false">I16-$E16</f>
        <v>-0.00721050296070634</v>
      </c>
      <c r="N16" s="5" t="n">
        <f aca="false">ABS(J16)/ABS($E16)</f>
        <v>0.117269685880757</v>
      </c>
      <c r="O16" s="5" t="n">
        <f aca="false">ABS(K16)/ABS($E16)</f>
        <v>0.377972027985575</v>
      </c>
      <c r="P16" s="5" t="n">
        <f aca="false">ABS(L16)/ABS($E16)</f>
        <v>0.286002973721077</v>
      </c>
      <c r="Q16" s="5" t="n">
        <f aca="false">ABS(M16)/ABS($E16)</f>
        <v>0.152437473723179</v>
      </c>
    </row>
    <row r="17" customFormat="false" ht="15" hidden="false" customHeight="false" outlineLevel="0" collapsed="false">
      <c r="A17" s="2" t="n">
        <v>0</v>
      </c>
      <c r="B17" s="2" t="n">
        <v>3</v>
      </c>
      <c r="C17" s="2" t="n">
        <v>1.5</v>
      </c>
      <c r="D17" s="2" t="n">
        <v>10.5</v>
      </c>
      <c r="E17" s="13" t="n">
        <v>0.0506723001390707</v>
      </c>
      <c r="F17" s="13" t="n">
        <v>0.0442044800891627</v>
      </c>
      <c r="G17" s="13" t="n">
        <v>0.031039559305072</v>
      </c>
      <c r="H17" s="13" t="n">
        <v>0.0355360359170182</v>
      </c>
      <c r="I17" s="13" t="n">
        <v>0.0464617732363951</v>
      </c>
      <c r="J17" s="4" t="n">
        <f aca="false">F17-$E17</f>
        <v>-0.006467820049908</v>
      </c>
      <c r="K17" s="4" t="n">
        <f aca="false">G17-$E17</f>
        <v>-0.0196327408339987</v>
      </c>
      <c r="L17" s="4" t="n">
        <f aca="false">H17-$E17</f>
        <v>-0.0151362642220526</v>
      </c>
      <c r="M17" s="4" t="n">
        <f aca="false">I17-$E17</f>
        <v>-0.00421052690267564</v>
      </c>
      <c r="N17" s="5" t="n">
        <f aca="false">ABS(J17)/ABS($E17)</f>
        <v>0.127640151170501</v>
      </c>
      <c r="O17" s="5" t="n">
        <f aca="false">ABS(K17)/ABS($E17)</f>
        <v>0.387445227079024</v>
      </c>
      <c r="P17" s="5" t="n">
        <f aca="false">ABS(L17)/ABS($E17)</f>
        <v>0.298708844487243</v>
      </c>
      <c r="Q17" s="5" t="n">
        <f aca="false">ABS(M17)/ABS($E17)</f>
        <v>0.0830932657708411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4.5</v>
      </c>
      <c r="D18" s="2" t="n">
        <v>10.5</v>
      </c>
      <c r="E18" s="13" t="n">
        <v>0.106832868677954</v>
      </c>
      <c r="F18" s="13" t="n">
        <v>0.0997386966306508</v>
      </c>
      <c r="G18" s="13" t="n">
        <v>0.0693608179493614</v>
      </c>
      <c r="H18" s="13" t="n">
        <v>0.0709321584347443</v>
      </c>
      <c r="I18" s="13" t="n">
        <v>0.103024319339011</v>
      </c>
      <c r="J18" s="4" t="n">
        <f aca="false">F18-$E18</f>
        <v>-0.00709417204730305</v>
      </c>
      <c r="K18" s="4" t="n">
        <f aca="false">G18-$E18</f>
        <v>-0.0374720507285924</v>
      </c>
      <c r="L18" s="4" t="n">
        <f aca="false">H18-$E18</f>
        <v>-0.0359007102432095</v>
      </c>
      <c r="M18" s="4" t="n">
        <f aca="false">I18-$E18</f>
        <v>-0.0038085493389424</v>
      </c>
      <c r="N18" s="5" t="n">
        <f aca="false">ABS(J18)/ABS($E18)</f>
        <v>0.0664043953428633</v>
      </c>
      <c r="O18" s="5" t="n">
        <f aca="false">ABS(K18)/ABS($E18)</f>
        <v>0.350753950467729</v>
      </c>
      <c r="P18" s="5" t="n">
        <f aca="false">ABS(L18)/ABS($E18)</f>
        <v>0.336045551219182</v>
      </c>
      <c r="Q18" s="5" t="n">
        <f aca="false">ABS(M18)/ABS($E18)</f>
        <v>0.0356496028429529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7.5</v>
      </c>
      <c r="D19" s="2" t="n">
        <v>10.5</v>
      </c>
      <c r="E19" s="13" t="n">
        <v>0.123737623313962</v>
      </c>
      <c r="F19" s="13" t="n">
        <v>0.116630214634114</v>
      </c>
      <c r="G19" s="13" t="n">
        <v>0.0791652452579772</v>
      </c>
      <c r="H19" s="13" t="n">
        <v>0.076129334821237</v>
      </c>
      <c r="I19" s="13" t="n">
        <v>0.116036645258687</v>
      </c>
      <c r="J19" s="4" t="n">
        <f aca="false">F19-$E19</f>
        <v>-0.00710740867984801</v>
      </c>
      <c r="K19" s="4" t="n">
        <f aca="false">G19-$E19</f>
        <v>-0.0445723780559852</v>
      </c>
      <c r="L19" s="4" t="n">
        <f aca="false">H19-$E19</f>
        <v>-0.0476082884927253</v>
      </c>
      <c r="M19" s="4" t="n">
        <f aca="false">I19-$E19</f>
        <v>-0.007700978055275</v>
      </c>
      <c r="N19" s="5" t="n">
        <f aca="false">ABS(J19)/ABS($E19)</f>
        <v>0.0574393502113275</v>
      </c>
      <c r="O19" s="5" t="n">
        <f aca="false">ABS(K19)/ABS($E19)</f>
        <v>0.360216859369366</v>
      </c>
      <c r="P19" s="5" t="n">
        <f aca="false">ABS(L19)/ABS($E19)</f>
        <v>0.384751922799808</v>
      </c>
      <c r="Q19" s="5" t="n">
        <f aca="false">ABS(M19)/ABS($E19)</f>
        <v>0.0622363501821523</v>
      </c>
    </row>
    <row r="20" customFormat="false" ht="15" hidden="false" customHeight="false" outlineLevel="0" collapsed="false">
      <c r="A20" s="2" t="n">
        <v>3</v>
      </c>
      <c r="B20" s="2" t="n">
        <v>3</v>
      </c>
      <c r="C20" s="2" t="n">
        <v>10.5</v>
      </c>
      <c r="D20" s="2" t="n">
        <v>10.5</v>
      </c>
      <c r="E20" s="13" t="n">
        <v>0.108185411997383</v>
      </c>
      <c r="F20" s="13" t="n">
        <v>0.100333413546455</v>
      </c>
      <c r="G20" s="13" t="n">
        <v>0.0798365144075669</v>
      </c>
      <c r="H20" s="13" t="n">
        <v>0.0712610657664929</v>
      </c>
      <c r="I20" s="13" t="n">
        <v>0.0966619368860925</v>
      </c>
      <c r="J20" s="4" t="n">
        <f aca="false">F20-$E20</f>
        <v>-0.00785199845092731</v>
      </c>
      <c r="K20" s="4" t="n">
        <f aca="false">G20-$E20</f>
        <v>-0.0283488975898156</v>
      </c>
      <c r="L20" s="4" t="n">
        <f aca="false">H20-$E20</f>
        <v>-0.0369243462308896</v>
      </c>
      <c r="M20" s="4" t="n">
        <f aca="false">I20-$E20</f>
        <v>-0.01152347511129</v>
      </c>
      <c r="N20" s="5" t="n">
        <f aca="false">ABS(J20)/ABS($E20)</f>
        <v>0.0725790871981639</v>
      </c>
      <c r="O20" s="5" t="n">
        <f aca="false">ABS(K20)/ABS($E20)</f>
        <v>0.262039928179055</v>
      </c>
      <c r="P20" s="5" t="n">
        <f aca="false">ABS(L20)/ABS($E20)</f>
        <v>0.341306147928549</v>
      </c>
      <c r="Q20" s="5" t="n">
        <f aca="false">ABS(M20)/ABS($E20)</f>
        <v>0.106515979359295</v>
      </c>
    </row>
    <row r="21" customFormat="false" ht="15" hidden="false" customHeight="false" outlineLevel="0" collapsed="false">
      <c r="A21" s="2" t="n">
        <v>4</v>
      </c>
      <c r="B21" s="2" t="n">
        <v>3</v>
      </c>
      <c r="C21" s="2" t="n">
        <v>13.5</v>
      </c>
      <c r="D21" s="2" t="n">
        <v>10.5</v>
      </c>
      <c r="E21" s="13" t="n">
        <v>0.0493346846501459</v>
      </c>
      <c r="F21" s="13" t="n">
        <v>0.043723283077946</v>
      </c>
      <c r="G21" s="13" t="n">
        <v>0.0364072141366395</v>
      </c>
      <c r="H21" s="13" t="n">
        <v>0.0362626959117676</v>
      </c>
      <c r="I21" s="13" t="n">
        <v>0.0419645584203368</v>
      </c>
      <c r="J21" s="4" t="n">
        <f aca="false">F21-$E21</f>
        <v>-0.00561140157219996</v>
      </c>
      <c r="K21" s="4" t="n">
        <f aca="false">G21-$E21</f>
        <v>-0.0129274705135065</v>
      </c>
      <c r="L21" s="4" t="n">
        <f aca="false">H21-$E21</f>
        <v>-0.0130719887383783</v>
      </c>
      <c r="M21" s="4" t="n">
        <f aca="false">I21-$E21</f>
        <v>-0.00737012622980916</v>
      </c>
      <c r="N21" s="5" t="n">
        <f aca="false">ABS(J21)/ABS($E21)</f>
        <v>0.113741510906432</v>
      </c>
      <c r="O21" s="5" t="n">
        <f aca="false">ABS(K21)/ABS($E21)</f>
        <v>0.262036143641758</v>
      </c>
      <c r="P21" s="5" t="n">
        <f aca="false">ABS(L21)/ABS($E21)</f>
        <v>0.264965486879618</v>
      </c>
      <c r="Q21" s="5" t="n">
        <f aca="false">ABS(M21)/ABS($E21)</f>
        <v>0.149390358569716</v>
      </c>
    </row>
    <row r="22" customFormat="false" ht="15" hidden="false" customHeight="false" outlineLevel="0" collapsed="false">
      <c r="A22" s="2" t="n">
        <v>0</v>
      </c>
      <c r="B22" s="2" t="n">
        <v>4</v>
      </c>
      <c r="C22" s="2" t="n">
        <v>1.5</v>
      </c>
      <c r="D22" s="2" t="n">
        <v>13.5</v>
      </c>
      <c r="E22" s="13" t="n">
        <v>0.0520247306933301</v>
      </c>
      <c r="F22" s="13" t="n">
        <v>0.0456591422609232</v>
      </c>
      <c r="G22" s="13" t="n">
        <v>0.0356305903751098</v>
      </c>
      <c r="H22" s="13" t="n">
        <v>0.0397184459242176</v>
      </c>
      <c r="I22" s="13" t="n">
        <v>0.0485653040097291</v>
      </c>
      <c r="J22" s="4" t="n">
        <f aca="false">F22-$E22</f>
        <v>-0.00636558843240692</v>
      </c>
      <c r="K22" s="4" t="n">
        <f aca="false">G22-$E22</f>
        <v>-0.0163941403182203</v>
      </c>
      <c r="L22" s="4" t="n">
        <f aca="false">H22-$E22</f>
        <v>-0.0123062847691125</v>
      </c>
      <c r="M22" s="4" t="n">
        <f aca="false">I22-$E22</f>
        <v>-0.00345942668360103</v>
      </c>
      <c r="N22" s="5" t="n">
        <f aca="false">ABS(J22)/ABS($E22)</f>
        <v>0.122356970378763</v>
      </c>
      <c r="O22" s="5" t="n">
        <f aca="false">ABS(K22)/ABS($E22)</f>
        <v>0.315122060215145</v>
      </c>
      <c r="P22" s="5" t="n">
        <f aca="false">ABS(L22)/ABS($E22)</f>
        <v>0.236546823118687</v>
      </c>
      <c r="Q22" s="5" t="n">
        <f aca="false">ABS(M22)/ABS($E22)</f>
        <v>0.066495811463077</v>
      </c>
    </row>
    <row r="23" customFormat="false" ht="15" hidden="false" customHeight="false" outlineLevel="0" collapsed="false">
      <c r="A23" s="2" t="n">
        <v>1</v>
      </c>
      <c r="B23" s="2" t="n">
        <v>4</v>
      </c>
      <c r="C23" s="2" t="n">
        <v>4.5</v>
      </c>
      <c r="D23" s="2" t="n">
        <v>13.5</v>
      </c>
      <c r="E23" s="13" t="n">
        <v>0.109087193581129</v>
      </c>
      <c r="F23" s="13" t="n">
        <v>0.101077250778794</v>
      </c>
      <c r="G23" s="13" t="n">
        <v>0.0760835207885783</v>
      </c>
      <c r="H23" s="13" t="n">
        <v>0.0790543836800823</v>
      </c>
      <c r="I23" s="13" t="n">
        <v>0.104796500816671</v>
      </c>
      <c r="J23" s="4" t="n">
        <f aca="false">F23-$E23</f>
        <v>-0.00800994280233509</v>
      </c>
      <c r="K23" s="4" t="n">
        <f aca="false">G23-$E23</f>
        <v>-0.0330036727925505</v>
      </c>
      <c r="L23" s="4" t="n">
        <f aca="false">H23-$E23</f>
        <v>-0.0300328099010465</v>
      </c>
      <c r="M23" s="4" t="n">
        <f aca="false">I23-$E23</f>
        <v>-0.00429069276445759</v>
      </c>
      <c r="N23" s="5" t="n">
        <f aca="false">ABS(J23)/ABS($E23)</f>
        <v>0.0734269765256914</v>
      </c>
      <c r="O23" s="5" t="n">
        <f aca="false">ABS(K23)/ABS($E23)</f>
        <v>0.302543971561662</v>
      </c>
      <c r="P23" s="5" t="n">
        <f aca="false">ABS(L23)/ABS($E23)</f>
        <v>0.275310134169974</v>
      </c>
      <c r="Q23" s="5" t="n">
        <f aca="false">ABS(M23)/ABS($E23)</f>
        <v>0.039332689966642</v>
      </c>
    </row>
    <row r="24" customFormat="false" ht="15" hidden="false" customHeight="false" outlineLevel="0" collapsed="false">
      <c r="A24" s="2" t="n">
        <v>2</v>
      </c>
      <c r="B24" s="2" t="n">
        <v>4</v>
      </c>
      <c r="C24" s="2" t="n">
        <v>7.5</v>
      </c>
      <c r="D24" s="2" t="n">
        <v>13.5</v>
      </c>
      <c r="E24" s="13" t="n">
        <v>0.127006501499767</v>
      </c>
      <c r="F24" s="13" t="n">
        <v>0.119569485422737</v>
      </c>
      <c r="G24" s="13" t="n">
        <v>0.0746682258872735</v>
      </c>
      <c r="H24" s="13" t="n">
        <v>0.0863780945661997</v>
      </c>
      <c r="I24" s="13" t="n">
        <v>0.118791207614325</v>
      </c>
      <c r="J24" s="4" t="n">
        <f aca="false">F24-$E24</f>
        <v>-0.0074370160770295</v>
      </c>
      <c r="K24" s="4" t="n">
        <f aca="false">G24-$E24</f>
        <v>-0.0523382756124932</v>
      </c>
      <c r="L24" s="4" t="n">
        <f aca="false">H24-$E24</f>
        <v>-0.040628406933567</v>
      </c>
      <c r="M24" s="4" t="n">
        <f aca="false">I24-$E24</f>
        <v>-0.00821529388544209</v>
      </c>
      <c r="N24" s="5" t="n">
        <f aca="false">ABS(J24)/ABS($E24)</f>
        <v>0.0585561840473431</v>
      </c>
      <c r="O24" s="5" t="n">
        <f aca="false">ABS(K24)/ABS($E24)</f>
        <v>0.412091310243589</v>
      </c>
      <c r="P24" s="5" t="n">
        <f aca="false">ABS(L24)/ABS($E24)</f>
        <v>0.319892339792083</v>
      </c>
      <c r="Q24" s="5" t="n">
        <f aca="false">ABS(M24)/ABS($E24)</f>
        <v>0.0646840420642339</v>
      </c>
    </row>
    <row r="25" customFormat="false" ht="15" hidden="false" customHeight="false" outlineLevel="0" collapsed="false">
      <c r="A25" s="2" t="n">
        <v>3</v>
      </c>
      <c r="B25" s="2" t="n">
        <v>4</v>
      </c>
      <c r="C25" s="2" t="n">
        <v>10.5</v>
      </c>
      <c r="D25" s="2" t="n">
        <v>13.5</v>
      </c>
      <c r="E25" s="13" t="n">
        <v>0.114245584714532</v>
      </c>
      <c r="F25" s="13" t="n">
        <v>0.105571804373761</v>
      </c>
      <c r="G25" s="13" t="n">
        <v>0.0759275945765732</v>
      </c>
      <c r="H25" s="13" t="n">
        <v>0.0799288750293931</v>
      </c>
      <c r="I25" s="13" t="n">
        <v>0.100312265291675</v>
      </c>
      <c r="J25" s="4" t="n">
        <f aca="false">F25-$E25</f>
        <v>-0.00867378034077121</v>
      </c>
      <c r="K25" s="4" t="n">
        <f aca="false">G25-$E25</f>
        <v>-0.0383179901379587</v>
      </c>
      <c r="L25" s="4" t="n">
        <f aca="false">H25-$E25</f>
        <v>-0.0343167096851389</v>
      </c>
      <c r="M25" s="4" t="n">
        <f aca="false">I25-$E25</f>
        <v>-0.0139333194228568</v>
      </c>
      <c r="N25" s="5" t="n">
        <f aca="false">ABS(J25)/ABS($E25)</f>
        <v>0.075922236841315</v>
      </c>
      <c r="O25" s="5" t="n">
        <f aca="false">ABS(K25)/ABS($E25)</f>
        <v>0.335400184030786</v>
      </c>
      <c r="P25" s="5" t="n">
        <f aca="false">ABS(L25)/ABS($E25)</f>
        <v>0.300376682135129</v>
      </c>
      <c r="Q25" s="5" t="n">
        <f aca="false">ABS(M25)/ABS($E25)</f>
        <v>0.121959369000319</v>
      </c>
    </row>
    <row r="26" customFormat="false" ht="15" hidden="false" customHeight="false" outlineLevel="0" collapsed="false">
      <c r="A26" s="2" t="n">
        <v>4</v>
      </c>
      <c r="B26" s="2" t="n">
        <v>4</v>
      </c>
      <c r="C26" s="2" t="n">
        <v>13.5</v>
      </c>
      <c r="D26" s="2" t="n">
        <v>13.5</v>
      </c>
      <c r="E26" s="13" t="n">
        <v>0.054225966901843</v>
      </c>
      <c r="F26" s="13" t="n">
        <v>0.0469334983771861</v>
      </c>
      <c r="G26" s="13" t="n">
        <v>0.0403124634937993</v>
      </c>
      <c r="H26" s="13" t="n">
        <v>0.0402803769377212</v>
      </c>
      <c r="I26" s="13" t="n">
        <v>0.0441437641855545</v>
      </c>
      <c r="J26" s="4" t="n">
        <f aca="false">F26-$E26</f>
        <v>-0.00729246852465691</v>
      </c>
      <c r="K26" s="4" t="n">
        <f aca="false">G26-$E26</f>
        <v>-0.0139135034080437</v>
      </c>
      <c r="L26" s="4" t="n">
        <f aca="false">H26-$E26</f>
        <v>-0.0139455899641218</v>
      </c>
      <c r="M26" s="4" t="n">
        <f aca="false">I26-$E26</f>
        <v>-0.0100822027162885</v>
      </c>
      <c r="N26" s="5" t="n">
        <f aca="false">ABS(J26)/ABS($E26)</f>
        <v>0.13448295975722</v>
      </c>
      <c r="O26" s="5" t="n">
        <f aca="false">ABS(K26)/ABS($E26)</f>
        <v>0.256583777163977</v>
      </c>
      <c r="P26" s="5" t="n">
        <f aca="false">ABS(L26)/ABS($E26)</f>
        <v>0.257175496554362</v>
      </c>
      <c r="Q26" s="5" t="n">
        <f aca="false">ABS(M26)/ABS($E26)</f>
        <v>0.185929422605572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17" min="5" style="0" width="13"/>
  </cols>
  <sheetData>
    <row r="1" customFormat="false" ht="42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1.5</v>
      </c>
      <c r="D2" s="2" t="n">
        <v>1.5</v>
      </c>
      <c r="E2" s="13" t="n">
        <v>0.501133880793547</v>
      </c>
      <c r="F2" s="13" t="n">
        <v>0.501117568637117</v>
      </c>
      <c r="G2" s="13" t="n">
        <v>0.52918083918106</v>
      </c>
      <c r="H2" s="13" t="n">
        <v>0.498649273176307</v>
      </c>
      <c r="I2" s="13" t="n">
        <v>0.499446554436386</v>
      </c>
      <c r="J2" s="4" t="n">
        <f aca="false">F2-$E2</f>
        <v>-1.63121564297208E-005</v>
      </c>
      <c r="K2" s="4" t="n">
        <f aca="false">G2-$E2</f>
        <v>0.0280469583875134</v>
      </c>
      <c r="L2" s="4" t="n">
        <f aca="false">H2-$E2</f>
        <v>-0.00248460761723968</v>
      </c>
      <c r="M2" s="4" t="n">
        <f aca="false">I2-$E2</f>
        <v>-0.00168732635716018</v>
      </c>
      <c r="N2" s="5" t="n">
        <f aca="false">ABS(J2)/ABS($E2)</f>
        <v>3.25504960947572E-005</v>
      </c>
      <c r="O2" s="5" t="n">
        <f aca="false">ABS(K2)/ABS($E2)</f>
        <v>0.0559669969691551</v>
      </c>
      <c r="P2" s="5" t="n">
        <f aca="false">ABS(L2)/ABS($E2)</f>
        <v>0.00495797173662514</v>
      </c>
      <c r="Q2" s="5" t="n">
        <f aca="false">ABS(M2)/ABS($E2)</f>
        <v>0.00336701712222749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4.5</v>
      </c>
      <c r="D3" s="2" t="n">
        <v>1.5</v>
      </c>
      <c r="E3" s="13" t="n">
        <v>0.791709877572754</v>
      </c>
      <c r="F3" s="13" t="n">
        <v>0.776757662235792</v>
      </c>
      <c r="G3" s="13" t="n">
        <v>0.76325483653349</v>
      </c>
      <c r="H3" s="13" t="n">
        <v>0.777999723759423</v>
      </c>
      <c r="I3" s="13" t="n">
        <v>0.777569776182051</v>
      </c>
      <c r="J3" s="4" t="n">
        <f aca="false">F3-$E3</f>
        <v>-0.0149522153369623</v>
      </c>
      <c r="K3" s="4" t="n">
        <f aca="false">G3-$E3</f>
        <v>-0.0284550410392639</v>
      </c>
      <c r="L3" s="4" t="n">
        <f aca="false">H3-$E3</f>
        <v>-0.013710153813331</v>
      </c>
      <c r="M3" s="4" t="n">
        <f aca="false">I3-$E3</f>
        <v>-0.0141401013907031</v>
      </c>
      <c r="N3" s="5" t="n">
        <f aca="false">ABS(J3)/ABS($E3)</f>
        <v>0.018885978008514</v>
      </c>
      <c r="O3" s="5" t="n">
        <f aca="false">ABS(K3)/ABS($E3)</f>
        <v>0.0359412479815234</v>
      </c>
      <c r="P3" s="5" t="n">
        <f aca="false">ABS(L3)/ABS($E3)</f>
        <v>0.0173171438196072</v>
      </c>
      <c r="Q3" s="5" t="n">
        <f aca="false">ABS(M3)/ABS($E3)</f>
        <v>0.0178602058547687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7.5</v>
      </c>
      <c r="D4" s="2" t="n">
        <v>1.5</v>
      </c>
      <c r="E4" s="13" t="n">
        <v>0.871060450731907</v>
      </c>
      <c r="F4" s="13" t="n">
        <v>0.868028775983013</v>
      </c>
      <c r="G4" s="13" t="n">
        <v>0.864470935335981</v>
      </c>
      <c r="H4" s="13" t="n">
        <v>0.873428262027624</v>
      </c>
      <c r="I4" s="13" t="n">
        <v>0.869958775306914</v>
      </c>
      <c r="J4" s="4" t="n">
        <f aca="false">F4-$E4</f>
        <v>-0.00303167474889388</v>
      </c>
      <c r="K4" s="4" t="n">
        <f aca="false">G4-$E4</f>
        <v>-0.00658951539592589</v>
      </c>
      <c r="L4" s="4" t="n">
        <f aca="false">H4-$E4</f>
        <v>0.00236781129571739</v>
      </c>
      <c r="M4" s="4" t="n">
        <f aca="false">I4-$E4</f>
        <v>-0.0011016754249934</v>
      </c>
      <c r="N4" s="5" t="n">
        <f aca="false">ABS(J4)/ABS($E4)</f>
        <v>0.0034804412786122</v>
      </c>
      <c r="O4" s="5" t="n">
        <f aca="false">ABS(K4)/ABS($E4)</f>
        <v>0.00756493466141077</v>
      </c>
      <c r="P4" s="5" t="n">
        <f aca="false">ABS(L4)/ABS($E4)</f>
        <v>0.00271830880822088</v>
      </c>
      <c r="Q4" s="5" t="n">
        <f aca="false">ABS(M4)/ABS($E4)</f>
        <v>0.00126475197452452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10.5</v>
      </c>
      <c r="D5" s="2" t="n">
        <v>1.5</v>
      </c>
      <c r="E5" s="13" t="n">
        <v>0.903038148906515</v>
      </c>
      <c r="F5" s="13" t="n">
        <v>0.903960364879179</v>
      </c>
      <c r="G5" s="13" t="n">
        <v>0.91364147770567</v>
      </c>
      <c r="H5" s="13" t="n">
        <v>0.909001734270187</v>
      </c>
      <c r="I5" s="13" t="n">
        <v>0.90601027337175</v>
      </c>
      <c r="J5" s="4" t="n">
        <f aca="false">F5-$E5</f>
        <v>0.000922215972664509</v>
      </c>
      <c r="K5" s="4" t="n">
        <f aca="false">G5-$E5</f>
        <v>0.0106033287991548</v>
      </c>
      <c r="L5" s="4" t="n">
        <f aca="false">H5-$E5</f>
        <v>0.00596358536367225</v>
      </c>
      <c r="M5" s="4" t="n">
        <f aca="false">I5-$E5</f>
        <v>0.00297212446523498</v>
      </c>
      <c r="N5" s="5" t="n">
        <f aca="false">ABS(J5)/ABS($E5)</f>
        <v>0.00102123700286773</v>
      </c>
      <c r="O5" s="5" t="n">
        <f aca="false">ABS(K5)/ABS($E5)</f>
        <v>0.0117418392700179</v>
      </c>
      <c r="P5" s="5" t="n">
        <f aca="false">ABS(L5)/ABS($E5)</f>
        <v>0.00660391299181938</v>
      </c>
      <c r="Q5" s="5" t="n">
        <f aca="false">ABS(M5)/ABS($E5)</f>
        <v>0.00329125017457337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13.5</v>
      </c>
      <c r="D6" s="2" t="n">
        <v>1.5</v>
      </c>
      <c r="E6" s="13" t="n">
        <v>0.915101485906104</v>
      </c>
      <c r="F6" s="13" t="n">
        <v>0.916797247550791</v>
      </c>
      <c r="G6" s="13" t="n">
        <v>0.92068987749736</v>
      </c>
      <c r="H6" s="13" t="n">
        <v>0.923005383723214</v>
      </c>
      <c r="I6" s="13" t="n">
        <v>0.919437406116058</v>
      </c>
      <c r="J6" s="4" t="n">
        <f aca="false">F6-$E6</f>
        <v>0.00169576164468632</v>
      </c>
      <c r="K6" s="4" t="n">
        <f aca="false">G6-$E6</f>
        <v>0.00558839159125535</v>
      </c>
      <c r="L6" s="4" t="n">
        <f aca="false">H6-$E6</f>
        <v>0.00790389781710932</v>
      </c>
      <c r="M6" s="4" t="n">
        <f aca="false">I6-$E6</f>
        <v>0.00433592020995388</v>
      </c>
      <c r="N6" s="5" t="n">
        <f aca="false">ABS(J6)/ABS($E6)</f>
        <v>0.00185308588260813</v>
      </c>
      <c r="O6" s="5" t="n">
        <f aca="false">ABS(K6)/ABS($E6)</f>
        <v>0.0061068544607617</v>
      </c>
      <c r="P6" s="5" t="n">
        <f aca="false">ABS(L6)/ABS($E6)</f>
        <v>0.00863718171027023</v>
      </c>
      <c r="Q6" s="5" t="n">
        <f aca="false">ABS(M6)/ABS($E6)</f>
        <v>0.00473818508300267</v>
      </c>
    </row>
    <row r="7" customFormat="false" ht="15" hidden="false" customHeight="false" outlineLevel="0" collapsed="false">
      <c r="A7" s="2" t="n">
        <v>0</v>
      </c>
      <c r="B7" s="2" t="n">
        <v>1</v>
      </c>
      <c r="C7" s="2" t="n">
        <v>1.5</v>
      </c>
      <c r="D7" s="2" t="n">
        <v>4.5</v>
      </c>
      <c r="E7" s="13" t="n">
        <v>0.211413975460174</v>
      </c>
      <c r="F7" s="13" t="n">
        <v>0.224973559977207</v>
      </c>
      <c r="G7" s="13" t="n">
        <v>0.24168693259487</v>
      </c>
      <c r="H7" s="13" t="n">
        <v>0.218955934849474</v>
      </c>
      <c r="I7" s="13" t="n">
        <v>0.224220709790803</v>
      </c>
      <c r="J7" s="4" t="n">
        <f aca="false">F7-$E7</f>
        <v>0.0135595845170327</v>
      </c>
      <c r="K7" s="4" t="n">
        <f aca="false">G7-$E7</f>
        <v>0.0302729571346964</v>
      </c>
      <c r="L7" s="4" t="n">
        <f aca="false">H7-$E7</f>
        <v>0.00754195938930011</v>
      </c>
      <c r="M7" s="4" t="n">
        <f aca="false">I7-$E7</f>
        <v>0.0128067343306287</v>
      </c>
      <c r="N7" s="5" t="n">
        <f aca="false">ABS(J7)/ABS($E7)</f>
        <v>0.0641375977511338</v>
      </c>
      <c r="O7" s="5" t="n">
        <f aca="false">ABS(K7)/ABS($E7)</f>
        <v>0.143192790679059</v>
      </c>
      <c r="P7" s="5" t="n">
        <f aca="false">ABS(L7)/ABS($E7)</f>
        <v>0.0356738922906299</v>
      </c>
      <c r="Q7" s="5" t="n">
        <f aca="false">ABS(M7)/ABS($E7)</f>
        <v>0.0605765740072432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4.5</v>
      </c>
      <c r="D8" s="2" t="n">
        <v>4.5</v>
      </c>
      <c r="E8" s="13" t="n">
        <v>0.500388962544859</v>
      </c>
      <c r="F8" s="13" t="n">
        <v>0.500529256925133</v>
      </c>
      <c r="G8" s="13" t="n">
        <v>0.49482719519721</v>
      </c>
      <c r="H8" s="13" t="n">
        <v>0.497591342631985</v>
      </c>
      <c r="I8" s="13" t="n">
        <v>0.501864424740928</v>
      </c>
      <c r="J8" s="4" t="n">
        <f aca="false">F8-$E8</f>
        <v>0.00014029438027352</v>
      </c>
      <c r="K8" s="4" t="n">
        <f aca="false">G8-$E8</f>
        <v>-0.00556176734764957</v>
      </c>
      <c r="L8" s="4" t="n">
        <f aca="false">H8-$E8</f>
        <v>-0.00279761991287458</v>
      </c>
      <c r="M8" s="4" t="n">
        <f aca="false">I8-$E8</f>
        <v>0.00147546219606909</v>
      </c>
      <c r="N8" s="5" t="n">
        <f aca="false">ABS(J8)/ABS($E8)</f>
        <v>0.00028037065318151</v>
      </c>
      <c r="O8" s="5" t="n">
        <f aca="false">ABS(K8)/ABS($E8)</f>
        <v>0.0111148881449418</v>
      </c>
      <c r="P8" s="5" t="n">
        <f aca="false">ABS(L8)/ABS($E8)</f>
        <v>0.00559089053173066</v>
      </c>
      <c r="Q8" s="5" t="n">
        <f aca="false">ABS(M8)/ABS($E8)</f>
        <v>0.00294863057843091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7.5</v>
      </c>
      <c r="D9" s="2" t="n">
        <v>4.5</v>
      </c>
      <c r="E9" s="13" t="n">
        <v>0.651655662112144</v>
      </c>
      <c r="F9" s="13" t="n">
        <v>0.649499622411219</v>
      </c>
      <c r="G9" s="13" t="n">
        <v>0.65153086478163</v>
      </c>
      <c r="H9" s="13" t="n">
        <v>0.65348608812769</v>
      </c>
      <c r="I9" s="13" t="n">
        <v>0.653396549334373</v>
      </c>
      <c r="J9" s="4" t="n">
        <f aca="false">F9-$E9</f>
        <v>-0.00215603970092437</v>
      </c>
      <c r="K9" s="4" t="n">
        <f aca="false">G9-$E9</f>
        <v>-0.000124797330513182</v>
      </c>
      <c r="L9" s="4" t="n">
        <f aca="false">H9-$E9</f>
        <v>0.00183042601554639</v>
      </c>
      <c r="M9" s="4" t="n">
        <f aca="false">I9-$E9</f>
        <v>0.00174088722222965</v>
      </c>
      <c r="N9" s="5" t="n">
        <f aca="false">ABS(J9)/ABS($E9)</f>
        <v>0.00330855669071642</v>
      </c>
      <c r="O9" s="5" t="n">
        <f aca="false">ABS(K9)/ABS($E9)</f>
        <v>0.000191508088963257</v>
      </c>
      <c r="P9" s="5" t="n">
        <f aca="false">ABS(L9)/ABS($E9)</f>
        <v>0.00280888530855947</v>
      </c>
      <c r="Q9" s="5" t="n">
        <f aca="false">ABS(M9)/ABS($E9)</f>
        <v>0.00267148330544247</v>
      </c>
    </row>
    <row r="10" customFormat="false" ht="15" hidden="false" customHeight="false" outlineLevel="0" collapsed="false">
      <c r="A10" s="2" t="n">
        <v>3</v>
      </c>
      <c r="B10" s="2" t="n">
        <v>1</v>
      </c>
      <c r="C10" s="2" t="n">
        <v>10.5</v>
      </c>
      <c r="D10" s="2" t="n">
        <v>4.5</v>
      </c>
      <c r="E10" s="13" t="n">
        <v>0.728199314720686</v>
      </c>
      <c r="F10" s="13" t="n">
        <v>0.72696096957025</v>
      </c>
      <c r="G10" s="13" t="n">
        <v>0.73093813539194</v>
      </c>
      <c r="H10" s="13" t="n">
        <v>0.729937283659054</v>
      </c>
      <c r="I10" s="13" t="n">
        <v>0.732052894920155</v>
      </c>
      <c r="J10" s="4" t="n">
        <f aca="false">F10-$E10</f>
        <v>-0.00123834515043586</v>
      </c>
      <c r="K10" s="4" t="n">
        <f aca="false">G10-$E10</f>
        <v>0.00273882067125397</v>
      </c>
      <c r="L10" s="4" t="n">
        <f aca="false">H10-$E10</f>
        <v>0.00173796893836753</v>
      </c>
      <c r="M10" s="4" t="n">
        <f aca="false">I10-$E10</f>
        <v>0.00385358019946869</v>
      </c>
      <c r="N10" s="5" t="n">
        <f aca="false">ABS(J10)/ABS($E10)</f>
        <v>0.00170055797280014</v>
      </c>
      <c r="O10" s="5" t="n">
        <f aca="false">ABS(K10)/ABS($E10)</f>
        <v>0.00376108658150069</v>
      </c>
      <c r="P10" s="5" t="n">
        <f aca="false">ABS(L10)/ABS($E10)</f>
        <v>0.00238666653927594</v>
      </c>
      <c r="Q10" s="5" t="n">
        <f aca="false">ABS(M10)/ABS($E10)</f>
        <v>0.00529193054918872</v>
      </c>
    </row>
    <row r="11" customFormat="false" ht="15" hidden="false" customHeight="false" outlineLevel="0" collapsed="false">
      <c r="A11" s="2" t="n">
        <v>4</v>
      </c>
      <c r="B11" s="2" t="n">
        <v>1</v>
      </c>
      <c r="C11" s="2" t="n">
        <v>13.5</v>
      </c>
      <c r="D11" s="2" t="n">
        <v>4.5</v>
      </c>
      <c r="E11" s="13" t="n">
        <v>0.759507279567513</v>
      </c>
      <c r="F11" s="13" t="n">
        <v>0.759143997078871</v>
      </c>
      <c r="G11" s="13" t="n">
        <v>0.756018807056512</v>
      </c>
      <c r="H11" s="13" t="n">
        <v>0.7638686186598</v>
      </c>
      <c r="I11" s="13" t="n">
        <v>0.764461415567397</v>
      </c>
      <c r="J11" s="4" t="n">
        <f aca="false">F11-$E11</f>
        <v>-0.000363282488642369</v>
      </c>
      <c r="K11" s="4" t="n">
        <f aca="false">G11-$E11</f>
        <v>-0.00348847251100115</v>
      </c>
      <c r="L11" s="4" t="n">
        <f aca="false">H11-$E11</f>
        <v>0.00436133909228709</v>
      </c>
      <c r="M11" s="4" t="n">
        <f aca="false">I11-$E11</f>
        <v>0.00495413599988459</v>
      </c>
      <c r="N11" s="5" t="n">
        <f aca="false">ABS(J11)/ABS($E11)</f>
        <v>0.000478313372913599</v>
      </c>
      <c r="O11" s="5" t="n">
        <f aca="false">ABS(K11)/ABS($E11)</f>
        <v>0.00459307317368649</v>
      </c>
      <c r="P11" s="5" t="n">
        <f aca="false">ABS(L11)/ABS($E11)</f>
        <v>0.00574232691327273</v>
      </c>
      <c r="Q11" s="5" t="n">
        <f aca="false">ABS(M11)/ABS($E11)</f>
        <v>0.00652282885649974</v>
      </c>
    </row>
    <row r="12" customFormat="false" ht="15" hidden="false" customHeight="false" outlineLevel="0" collapsed="false">
      <c r="A12" s="2" t="n">
        <v>0</v>
      </c>
      <c r="B12" s="2" t="n">
        <v>2</v>
      </c>
      <c r="C12" s="2" t="n">
        <v>1.5</v>
      </c>
      <c r="D12" s="2" t="n">
        <v>7.5</v>
      </c>
      <c r="E12" s="13" t="n">
        <v>0.129015052061461</v>
      </c>
      <c r="F12" s="13" t="n">
        <v>0.131486609412882</v>
      </c>
      <c r="G12" s="13" t="n">
        <v>0.144746120206229</v>
      </c>
      <c r="H12" s="13" t="n">
        <v>0.127008332904774</v>
      </c>
      <c r="I12" s="13" t="n">
        <v>0.131163201872235</v>
      </c>
      <c r="J12" s="4" t="n">
        <f aca="false">F12-$E12</f>
        <v>0.0024715573514211</v>
      </c>
      <c r="K12" s="4" t="n">
        <f aca="false">G12-$E12</f>
        <v>0.0157310681447676</v>
      </c>
      <c r="L12" s="4" t="n">
        <f aca="false">H12-$E12</f>
        <v>-0.0020067191566871</v>
      </c>
      <c r="M12" s="4" t="n">
        <f aca="false">I12-$E12</f>
        <v>0.00214814981077341</v>
      </c>
      <c r="N12" s="5" t="n">
        <f aca="false">ABS(J12)/ABS($E12)</f>
        <v>0.0191571240094038</v>
      </c>
      <c r="O12" s="5" t="n">
        <f aca="false">ABS(K12)/ABS($E12)</f>
        <v>0.121932037335252</v>
      </c>
      <c r="P12" s="5" t="n">
        <f aca="false">ABS(L12)/ABS($E12)</f>
        <v>0.0155541475558303</v>
      </c>
      <c r="Q12" s="5" t="n">
        <f aca="false">ABS(M12)/ABS($E12)</f>
        <v>0.0166503813039587</v>
      </c>
    </row>
    <row r="13" customFormat="false" ht="15" hidden="false" customHeight="false" outlineLevel="0" collapsed="false">
      <c r="A13" s="2" t="n">
        <v>1</v>
      </c>
      <c r="B13" s="2" t="n">
        <v>2</v>
      </c>
      <c r="C13" s="2" t="n">
        <v>4.5</v>
      </c>
      <c r="D13" s="2" t="n">
        <v>7.5</v>
      </c>
      <c r="E13" s="13" t="n">
        <v>0.346395455978074</v>
      </c>
      <c r="F13" s="13" t="n">
        <v>0.348876879194121</v>
      </c>
      <c r="G13" s="13" t="n">
        <v>0.353061147414313</v>
      </c>
      <c r="H13" s="13" t="n">
        <v>0.345787748705695</v>
      </c>
      <c r="I13" s="13" t="n">
        <v>0.349804468167547</v>
      </c>
      <c r="J13" s="4" t="n">
        <f aca="false">F13-$E13</f>
        <v>0.00248142321604761</v>
      </c>
      <c r="K13" s="4" t="n">
        <f aca="false">G13-$E13</f>
        <v>0.0066656914362398</v>
      </c>
      <c r="L13" s="4" t="n">
        <f aca="false">H13-$E13</f>
        <v>-0.000607707272378799</v>
      </c>
      <c r="M13" s="4" t="n">
        <f aca="false">I13-$E13</f>
        <v>0.00340901218947293</v>
      </c>
      <c r="N13" s="5" t="n">
        <f aca="false">ABS(J13)/ABS($E13)</f>
        <v>0.00716355591051598</v>
      </c>
      <c r="O13" s="5" t="n">
        <f aca="false">ABS(K13)/ABS($E13)</f>
        <v>0.019243010614613</v>
      </c>
      <c r="P13" s="5" t="n">
        <f aca="false">ABS(L13)/ABS($E13)</f>
        <v>0.00175437426181845</v>
      </c>
      <c r="Q13" s="5" t="n">
        <f aca="false">ABS(M13)/ABS($E13)</f>
        <v>0.00984138830530362</v>
      </c>
    </row>
    <row r="14" customFormat="false" ht="15" hidden="false" customHeight="false" outlineLevel="0" collapsed="false">
      <c r="A14" s="2" t="n">
        <v>2</v>
      </c>
      <c r="B14" s="2" t="n">
        <v>2</v>
      </c>
      <c r="C14" s="2" t="n">
        <v>7.5</v>
      </c>
      <c r="D14" s="2" t="n">
        <v>7.5</v>
      </c>
      <c r="E14" s="13" t="n">
        <v>0.498098095762251</v>
      </c>
      <c r="F14" s="13" t="n">
        <v>0.498522641448321</v>
      </c>
      <c r="G14" s="13" t="n">
        <v>0.497998623388388</v>
      </c>
      <c r="H14" s="13" t="n">
        <v>0.500985348694858</v>
      </c>
      <c r="I14" s="13" t="n">
        <v>0.501985162037463</v>
      </c>
      <c r="J14" s="4" t="n">
        <f aca="false">F14-$E14</f>
        <v>0.000424545686070088</v>
      </c>
      <c r="K14" s="4" t="n">
        <f aca="false">G14-$E14</f>
        <v>-9.94723738623193E-005</v>
      </c>
      <c r="L14" s="4" t="n">
        <f aca="false">H14-$E14</f>
        <v>0.00288725293260761</v>
      </c>
      <c r="M14" s="4" t="n">
        <f aca="false">I14-$E14</f>
        <v>0.0038870662752124</v>
      </c>
      <c r="N14" s="5" t="n">
        <f aca="false">ABS(J14)/ABS($E14)</f>
        <v>0.000852333485476182</v>
      </c>
      <c r="O14" s="5" t="n">
        <f aca="false">ABS(K14)/ABS($E14)</f>
        <v>0.000199704384956731</v>
      </c>
      <c r="P14" s="5" t="n">
        <f aca="false">ABS(L14)/ABS($E14)</f>
        <v>0.00579655484968113</v>
      </c>
      <c r="Q14" s="5" t="n">
        <f aca="false">ABS(M14)/ABS($E14)</f>
        <v>0.00780381677481408</v>
      </c>
    </row>
    <row r="15" customFormat="false" ht="15" hidden="false" customHeight="false" outlineLevel="0" collapsed="false">
      <c r="A15" s="2" t="n">
        <v>3</v>
      </c>
      <c r="B15" s="2" t="n">
        <v>2</v>
      </c>
      <c r="C15" s="2" t="n">
        <v>10.5</v>
      </c>
      <c r="D15" s="2" t="n">
        <v>7.5</v>
      </c>
      <c r="E15" s="13" t="n">
        <v>0.591056925868782</v>
      </c>
      <c r="F15" s="13" t="n">
        <v>0.590044057466593</v>
      </c>
      <c r="G15" s="13" t="n">
        <v>0.59121555005324</v>
      </c>
      <c r="H15" s="13" t="n">
        <v>0.591618503071814</v>
      </c>
      <c r="I15" s="13" t="n">
        <v>0.594712452223693</v>
      </c>
      <c r="J15" s="4" t="n">
        <f aca="false">F15-$E15</f>
        <v>-0.00101286840218962</v>
      </c>
      <c r="K15" s="4" t="n">
        <f aca="false">G15-$E15</f>
        <v>0.000158624184457667</v>
      </c>
      <c r="L15" s="4" t="n">
        <f aca="false">H15-$E15</f>
        <v>0.000561577203031738</v>
      </c>
      <c r="M15" s="4" t="n">
        <f aca="false">I15-$E15</f>
        <v>0.0036555263549104</v>
      </c>
      <c r="N15" s="5" t="n">
        <f aca="false">ABS(J15)/ABS($E15)</f>
        <v>0.00171365626195958</v>
      </c>
      <c r="O15" s="5" t="n">
        <f aca="false">ABS(K15)/ABS($E15)</f>
        <v>0.000268373785189149</v>
      </c>
      <c r="P15" s="5" t="n">
        <f aca="false">ABS(L15)/ABS($E15)</f>
        <v>0.00095012371643609</v>
      </c>
      <c r="Q15" s="5" t="n">
        <f aca="false">ABS(M15)/ABS($E15)</f>
        <v>0.00618472806073157</v>
      </c>
    </row>
    <row r="16" customFormat="false" ht="15" hidden="false" customHeight="false" outlineLevel="0" collapsed="false">
      <c r="A16" s="2" t="n">
        <v>4</v>
      </c>
      <c r="B16" s="2" t="n">
        <v>2</v>
      </c>
      <c r="C16" s="2" t="n">
        <v>13.5</v>
      </c>
      <c r="D16" s="2" t="n">
        <v>7.5</v>
      </c>
      <c r="E16" s="13" t="n">
        <v>0.632248196598329</v>
      </c>
      <c r="F16" s="13" t="n">
        <v>0.631409093105705</v>
      </c>
      <c r="G16" s="13" t="n">
        <v>0.633915724741178</v>
      </c>
      <c r="H16" s="13" t="n">
        <v>0.631859829413429</v>
      </c>
      <c r="I16" s="13" t="n">
        <v>0.636067848131104</v>
      </c>
      <c r="J16" s="4" t="n">
        <f aca="false">F16-$E16</f>
        <v>-0.000839103492623838</v>
      </c>
      <c r="K16" s="4" t="n">
        <f aca="false">G16-$E16</f>
        <v>0.00166752814284832</v>
      </c>
      <c r="L16" s="4" t="n">
        <f aca="false">H16-$E16</f>
        <v>-0.000388367184900429</v>
      </c>
      <c r="M16" s="4" t="n">
        <f aca="false">I16-$E16</f>
        <v>0.0038196515327743</v>
      </c>
      <c r="N16" s="5" t="n">
        <f aca="false">ABS(J16)/ABS($E16)</f>
        <v>0.00132717419699803</v>
      </c>
      <c r="O16" s="5" t="n">
        <f aca="false">ABS(K16)/ABS($E16)</f>
        <v>0.00263745812454679</v>
      </c>
      <c r="P16" s="5" t="n">
        <f aca="false">ABS(L16)/ABS($E16)</f>
        <v>0.000614263808089849</v>
      </c>
      <c r="Q16" s="5" t="n">
        <f aca="false">ABS(M16)/ABS($E16)</f>
        <v>0.00604137987791043</v>
      </c>
    </row>
    <row r="17" customFormat="false" ht="15" hidden="false" customHeight="false" outlineLevel="0" collapsed="false">
      <c r="A17" s="2" t="n">
        <v>0</v>
      </c>
      <c r="B17" s="2" t="n">
        <v>3</v>
      </c>
      <c r="C17" s="2" t="n">
        <v>1.5</v>
      </c>
      <c r="D17" s="2" t="n">
        <v>10.5</v>
      </c>
      <c r="E17" s="13" t="n">
        <v>0.0962832868341077</v>
      </c>
      <c r="F17" s="13" t="n">
        <v>0.0955729525109073</v>
      </c>
      <c r="G17" s="13" t="n">
        <v>0.0939508833590305</v>
      </c>
      <c r="H17" s="13" t="n">
        <v>0.0908770306207955</v>
      </c>
      <c r="I17" s="13" t="n">
        <v>0.0960137614040595</v>
      </c>
      <c r="J17" s="4" t="n">
        <f aca="false">F17-$E17</f>
        <v>-0.000710334323200376</v>
      </c>
      <c r="K17" s="4" t="n">
        <f aca="false">G17-$E17</f>
        <v>-0.00233240347507714</v>
      </c>
      <c r="L17" s="4" t="n">
        <f aca="false">H17-$E17</f>
        <v>-0.00540625621331217</v>
      </c>
      <c r="M17" s="4" t="n">
        <f aca="false">I17-$E17</f>
        <v>-0.00026952543004817</v>
      </c>
      <c r="N17" s="5" t="n">
        <f aca="false">ABS(J17)/ABS($E17)</f>
        <v>0.00737754543448703</v>
      </c>
      <c r="O17" s="5" t="n">
        <f aca="false">ABS(K17)/ABS($E17)</f>
        <v>0.0242243856828006</v>
      </c>
      <c r="P17" s="5" t="n">
        <f aca="false">ABS(L17)/ABS($E17)</f>
        <v>0.0561494771426628</v>
      </c>
      <c r="Q17" s="5" t="n">
        <f aca="false">ABS(M17)/ABS($E17)</f>
        <v>0.00279929610745998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4.5</v>
      </c>
      <c r="D18" s="2" t="n">
        <v>10.5</v>
      </c>
      <c r="E18" s="13" t="n">
        <v>0.27119321235281</v>
      </c>
      <c r="F18" s="13" t="n">
        <v>0.27193074068644</v>
      </c>
      <c r="G18" s="13" t="n">
        <v>0.260229165198116</v>
      </c>
      <c r="H18" s="13" t="n">
        <v>0.270353615229773</v>
      </c>
      <c r="I18" s="13" t="n">
        <v>0.272211619940729</v>
      </c>
      <c r="J18" s="4" t="n">
        <f aca="false">F18-$E18</f>
        <v>0.000737528333630222</v>
      </c>
      <c r="K18" s="4" t="n">
        <f aca="false">G18-$E18</f>
        <v>-0.010964047154694</v>
      </c>
      <c r="L18" s="4" t="n">
        <f aca="false">H18-$E18</f>
        <v>-0.000839597123037217</v>
      </c>
      <c r="M18" s="4" t="n">
        <f aca="false">I18-$E18</f>
        <v>0.00101840758791938</v>
      </c>
      <c r="N18" s="5" t="n">
        <f aca="false">ABS(J18)/ABS($E18)</f>
        <v>0.0027195678211545</v>
      </c>
      <c r="O18" s="5" t="n">
        <f aca="false">ABS(K18)/ABS($E18)</f>
        <v>0.0404289143506671</v>
      </c>
      <c r="P18" s="5" t="n">
        <f aca="false">ABS(L18)/ABS($E18)</f>
        <v>0.00309593708394493</v>
      </c>
      <c r="Q18" s="5" t="n">
        <f aca="false">ABS(M18)/ABS($E18)</f>
        <v>0.0037552842089369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7.5</v>
      </c>
      <c r="D19" s="2" t="n">
        <v>10.5</v>
      </c>
      <c r="E19" s="13" t="n">
        <v>0.406111951142083</v>
      </c>
      <c r="F19" s="13" t="n">
        <v>0.407491900508377</v>
      </c>
      <c r="G19" s="13" t="n">
        <v>0.40614828764732</v>
      </c>
      <c r="H19" s="13" t="n">
        <v>0.407725930552108</v>
      </c>
      <c r="I19" s="13" t="n">
        <v>0.409337417543954</v>
      </c>
      <c r="J19" s="4" t="n">
        <f aca="false">F19-$E19</f>
        <v>0.00137994936629432</v>
      </c>
      <c r="K19" s="4" t="n">
        <f aca="false">G19-$E19</f>
        <v>3.63365052374887E-005</v>
      </c>
      <c r="L19" s="4" t="n">
        <f aca="false">H19-$E19</f>
        <v>0.001613979410025</v>
      </c>
      <c r="M19" s="4" t="n">
        <f aca="false">I19-$E19</f>
        <v>0.00322546640187171</v>
      </c>
      <c r="N19" s="5" t="n">
        <f aca="false">ABS(J19)/ABS($E19)</f>
        <v>0.00339795310729856</v>
      </c>
      <c r="O19" s="5" t="n">
        <f aca="false">ABS(K19)/ABS($E19)</f>
        <v>8.94741096274114E-005</v>
      </c>
      <c r="P19" s="5" t="n">
        <f aca="false">ABS(L19)/ABS($E19)</f>
        <v>0.00397422288481319</v>
      </c>
      <c r="Q19" s="5" t="n">
        <f aca="false">ABS(M19)/ABS($E19)</f>
        <v>0.0079423085008972</v>
      </c>
    </row>
    <row r="20" customFormat="false" ht="15" hidden="false" customHeight="false" outlineLevel="0" collapsed="false">
      <c r="A20" s="2" t="n">
        <v>3</v>
      </c>
      <c r="B20" s="2" t="n">
        <v>3</v>
      </c>
      <c r="C20" s="2" t="n">
        <v>10.5</v>
      </c>
      <c r="D20" s="2" t="n">
        <v>10.5</v>
      </c>
      <c r="E20" s="13" t="n">
        <v>0.498268888504925</v>
      </c>
      <c r="F20" s="13" t="n">
        <v>0.498323585718904</v>
      </c>
      <c r="G20" s="13" t="n">
        <v>0.49910921115184</v>
      </c>
      <c r="H20" s="13" t="n">
        <v>0.498335160091894</v>
      </c>
      <c r="I20" s="13" t="n">
        <v>0.502391050614276</v>
      </c>
      <c r="J20" s="4" t="n">
        <f aca="false">F20-$E20</f>
        <v>5.46972139793822E-005</v>
      </c>
      <c r="K20" s="4" t="n">
        <f aca="false">G20-$E20</f>
        <v>0.000840322646915193</v>
      </c>
      <c r="L20" s="4" t="n">
        <f aca="false">H20-$E20</f>
        <v>6.62715869690911E-005</v>
      </c>
      <c r="M20" s="4" t="n">
        <f aca="false">I20-$E20</f>
        <v>0.00412216210935068</v>
      </c>
      <c r="N20" s="5" t="n">
        <f aca="false">ABS(J20)/ABS($E20)</f>
        <v>0.000109774491727756</v>
      </c>
      <c r="O20" s="5" t="n">
        <f aca="false">ABS(K20)/ABS($E20)</f>
        <v>0.00168648427847184</v>
      </c>
      <c r="P20" s="5" t="n">
        <f aca="false">ABS(L20)/ABS($E20)</f>
        <v>0.000133003662275487</v>
      </c>
      <c r="Q20" s="5" t="n">
        <f aca="false">ABS(M20)/ABS($E20)</f>
        <v>0.00827296707550694</v>
      </c>
    </row>
    <row r="21" customFormat="false" ht="15" hidden="false" customHeight="false" outlineLevel="0" collapsed="false">
      <c r="A21" s="2" t="n">
        <v>4</v>
      </c>
      <c r="B21" s="2" t="n">
        <v>3</v>
      </c>
      <c r="C21" s="2" t="n">
        <v>13.5</v>
      </c>
      <c r="D21" s="2" t="n">
        <v>10.5</v>
      </c>
      <c r="E21" s="13" t="n">
        <v>0.543327219274959</v>
      </c>
      <c r="F21" s="13" t="n">
        <v>0.542665350270166</v>
      </c>
      <c r="G21" s="13" t="n">
        <v>0.542016564458759</v>
      </c>
      <c r="H21" s="13" t="n">
        <v>0.542788546140596</v>
      </c>
      <c r="I21" s="13" t="n">
        <v>0.547148130779006</v>
      </c>
      <c r="J21" s="4" t="n">
        <f aca="false">F21-$E21</f>
        <v>-0.000661869004792814</v>
      </c>
      <c r="K21" s="4" t="n">
        <f aca="false">G21-$E21</f>
        <v>-0.00131065481619996</v>
      </c>
      <c r="L21" s="4" t="n">
        <f aca="false">H21-$E21</f>
        <v>-0.00053867313436351</v>
      </c>
      <c r="M21" s="4" t="n">
        <f aca="false">I21-$E21</f>
        <v>0.00382091150404662</v>
      </c>
      <c r="N21" s="5" t="n">
        <f aca="false">ABS(J21)/ABS($E21)</f>
        <v>0.00121817752049316</v>
      </c>
      <c r="O21" s="5" t="n">
        <f aca="false">ABS(K21)/ABS($E21)</f>
        <v>0.00241227527299104</v>
      </c>
      <c r="P21" s="5" t="n">
        <f aca="false">ABS(L21)/ABS($E21)</f>
        <v>0.000991434103158572</v>
      </c>
      <c r="Q21" s="5" t="n">
        <f aca="false">ABS(M21)/ABS($E21)</f>
        <v>0.00703243159646119</v>
      </c>
    </row>
    <row r="22" customFormat="false" ht="15" hidden="false" customHeight="false" outlineLevel="0" collapsed="false">
      <c r="A22" s="2" t="n">
        <v>0</v>
      </c>
      <c r="B22" s="2" t="n">
        <v>4</v>
      </c>
      <c r="C22" s="2" t="n">
        <v>1.5</v>
      </c>
      <c r="D22" s="2" t="n">
        <v>13.5</v>
      </c>
      <c r="E22" s="13" t="n">
        <v>0.0846067900982384</v>
      </c>
      <c r="F22" s="13" t="n">
        <v>0.0830192457901341</v>
      </c>
      <c r="G22" s="13" t="n">
        <v>0.0796530480427383</v>
      </c>
      <c r="H22" s="13" t="n">
        <v>0.0777681017484648</v>
      </c>
      <c r="I22" s="13" t="n">
        <v>0.0837463960941716</v>
      </c>
      <c r="J22" s="4" t="n">
        <f aca="false">F22-$E22</f>
        <v>-0.00158754430810436</v>
      </c>
      <c r="K22" s="4" t="n">
        <f aca="false">G22-$E22</f>
        <v>-0.00495374205550017</v>
      </c>
      <c r="L22" s="4" t="n">
        <f aca="false">H22-$E22</f>
        <v>-0.00683868834977361</v>
      </c>
      <c r="M22" s="4" t="n">
        <f aca="false">I22-$E22</f>
        <v>-0.000860394004066775</v>
      </c>
      <c r="N22" s="5" t="n">
        <f aca="false">ABS(J22)/ABS($E22)</f>
        <v>0.018763793145456</v>
      </c>
      <c r="O22" s="5" t="n">
        <f aca="false">ABS(K22)/ABS($E22)</f>
        <v>0.0585501713248818</v>
      </c>
      <c r="P22" s="5" t="n">
        <f aca="false">ABS(L22)/ABS($E22)</f>
        <v>0.0808290722509752</v>
      </c>
      <c r="Q22" s="5" t="n">
        <f aca="false">ABS(M22)/ABS($E22)</f>
        <v>0.0101693256896729</v>
      </c>
    </row>
    <row r="23" customFormat="false" ht="15" hidden="false" customHeight="false" outlineLevel="0" collapsed="false">
      <c r="A23" s="2" t="n">
        <v>1</v>
      </c>
      <c r="B23" s="2" t="n">
        <v>4</v>
      </c>
      <c r="C23" s="2" t="n">
        <v>4.5</v>
      </c>
      <c r="D23" s="2" t="n">
        <v>13.5</v>
      </c>
      <c r="E23" s="13" t="n">
        <v>0.239477363637218</v>
      </c>
      <c r="F23" s="13" t="n">
        <v>0.239985137149426</v>
      </c>
      <c r="G23" s="13" t="n">
        <v>0.228347190042407</v>
      </c>
      <c r="H23" s="13" t="n">
        <v>0.236947145157347</v>
      </c>
      <c r="I23" s="13" t="n">
        <v>0.240802342002822</v>
      </c>
      <c r="J23" s="4" t="n">
        <f aca="false">F23-$E23</f>
        <v>0.000507773512208487</v>
      </c>
      <c r="K23" s="4" t="n">
        <f aca="false">G23-$E23</f>
        <v>-0.0111301735948102</v>
      </c>
      <c r="L23" s="4" t="n">
        <f aca="false">H23-$E23</f>
        <v>-0.00253021847987112</v>
      </c>
      <c r="M23" s="4" t="n">
        <f aca="false">I23-$E23</f>
        <v>0.0013249783656048</v>
      </c>
      <c r="N23" s="5" t="n">
        <f aca="false">ABS(J23)/ABS($E23)</f>
        <v>0.00212034032985977</v>
      </c>
      <c r="O23" s="5" t="n">
        <f aca="false">ABS(K23)/ABS($E23)</f>
        <v>0.0464769338770208</v>
      </c>
      <c r="P23" s="5" t="n">
        <f aca="false">ABS(L23)/ABS($E23)</f>
        <v>0.0105655851619618</v>
      </c>
      <c r="Q23" s="5" t="n">
        <f aca="false">ABS(M23)/ABS($E23)</f>
        <v>0.00553279168219006</v>
      </c>
    </row>
    <row r="24" customFormat="false" ht="15" hidden="false" customHeight="false" outlineLevel="0" collapsed="false">
      <c r="A24" s="2" t="n">
        <v>2</v>
      </c>
      <c r="B24" s="2" t="n">
        <v>4</v>
      </c>
      <c r="C24" s="2" t="n">
        <v>7.5</v>
      </c>
      <c r="D24" s="2" t="n">
        <v>13.5</v>
      </c>
      <c r="E24" s="13" t="n">
        <v>0.364714340617458</v>
      </c>
      <c r="F24" s="13" t="n">
        <v>0.366528636463544</v>
      </c>
      <c r="G24" s="13" t="n">
        <v>0.364233194461919</v>
      </c>
      <c r="H24" s="13" t="n">
        <v>0.366264480168816</v>
      </c>
      <c r="I24" s="13" t="n">
        <v>0.367842744344198</v>
      </c>
      <c r="J24" s="4" t="n">
        <f aca="false">F24-$E24</f>
        <v>0.001814295846086</v>
      </c>
      <c r="K24" s="4" t="n">
        <f aca="false">G24-$E24</f>
        <v>-0.000481146155538514</v>
      </c>
      <c r="L24" s="4" t="n">
        <f aca="false">H24-$E24</f>
        <v>0.00155013955135869</v>
      </c>
      <c r="M24" s="4" t="n">
        <f aca="false">I24-$E24</f>
        <v>0.0031284037267405</v>
      </c>
      <c r="N24" s="5" t="n">
        <f aca="false">ABS(J24)/ABS($E24)</f>
        <v>0.0049745667883923</v>
      </c>
      <c r="O24" s="5" t="n">
        <f aca="false">ABS(K24)/ABS($E24)</f>
        <v>0.00131924112093848</v>
      </c>
      <c r="P24" s="5" t="n">
        <f aca="false">ABS(L24)/ABS($E24)</f>
        <v>0.00425028406816775</v>
      </c>
      <c r="Q24" s="5" t="n">
        <f aca="false">ABS(M24)/ABS($E24)</f>
        <v>0.00857768225248326</v>
      </c>
    </row>
    <row r="25" customFormat="false" ht="15" hidden="false" customHeight="false" outlineLevel="0" collapsed="false">
      <c r="A25" s="2" t="n">
        <v>3</v>
      </c>
      <c r="B25" s="2" t="n">
        <v>4</v>
      </c>
      <c r="C25" s="2" t="n">
        <v>10.5</v>
      </c>
      <c r="D25" s="2" t="n">
        <v>13.5</v>
      </c>
      <c r="E25" s="13" t="n">
        <v>0.45271583820642</v>
      </c>
      <c r="F25" s="13" t="n">
        <v>0.453959253333299</v>
      </c>
      <c r="G25" s="13" t="n">
        <v>0.451437634044181</v>
      </c>
      <c r="H25" s="13" t="n">
        <v>0.453412464522693</v>
      </c>
      <c r="I25" s="13" t="n">
        <v>0.457831234042804</v>
      </c>
      <c r="J25" s="4" t="n">
        <f aca="false">F25-$E25</f>
        <v>0.00124341512687898</v>
      </c>
      <c r="K25" s="4" t="n">
        <f aca="false">G25-$E25</f>
        <v>-0.00127820416223923</v>
      </c>
      <c r="L25" s="4" t="n">
        <f aca="false">H25-$E25</f>
        <v>0.000696626316272375</v>
      </c>
      <c r="M25" s="4" t="n">
        <f aca="false">I25-$E25</f>
        <v>0.00511539583638337</v>
      </c>
      <c r="N25" s="5" t="n">
        <f aca="false">ABS(J25)/ABS($E25)</f>
        <v>0.00274656864625096</v>
      </c>
      <c r="O25" s="5" t="n">
        <f aca="false">ABS(K25)/ABS($E25)</f>
        <v>0.00282341383792368</v>
      </c>
      <c r="P25" s="5" t="n">
        <f aca="false">ABS(L25)/ABS($E25)</f>
        <v>0.00153877169182391</v>
      </c>
      <c r="Q25" s="5" t="n">
        <f aca="false">ABS(M25)/ABS($E25)</f>
        <v>0.0112993524959269</v>
      </c>
    </row>
    <row r="26" customFormat="false" ht="15" hidden="false" customHeight="false" outlineLevel="0" collapsed="false">
      <c r="A26" s="2" t="n">
        <v>4</v>
      </c>
      <c r="B26" s="2" t="n">
        <v>4</v>
      </c>
      <c r="C26" s="2" t="n">
        <v>13.5</v>
      </c>
      <c r="D26" s="2" t="n">
        <v>13.5</v>
      </c>
      <c r="E26" s="13" t="n">
        <v>0.497439020008406</v>
      </c>
      <c r="F26" s="13" t="n">
        <v>0.497886799952064</v>
      </c>
      <c r="G26" s="13" t="n">
        <v>0.495814021198348</v>
      </c>
      <c r="H26" s="13" t="n">
        <v>0.497538033665391</v>
      </c>
      <c r="I26" s="13" t="n">
        <v>0.50277786417665</v>
      </c>
      <c r="J26" s="4" t="n">
        <f aca="false">F26-$E26</f>
        <v>0.000447779943658355</v>
      </c>
      <c r="K26" s="4" t="n">
        <f aca="false">G26-$E26</f>
        <v>-0.00162499881005784</v>
      </c>
      <c r="L26" s="4" t="n">
        <f aca="false">H26-$E26</f>
        <v>9.90136569850586E-005</v>
      </c>
      <c r="M26" s="4" t="n">
        <f aca="false">I26-$E26</f>
        <v>0.00533884416824398</v>
      </c>
      <c r="N26" s="5" t="n">
        <f aca="false">ABS(J26)/ABS($E26)</f>
        <v>0.000900170524722384</v>
      </c>
      <c r="O26" s="5" t="n">
        <f aca="false">ABS(K26)/ABS($E26)</f>
        <v>0.00326672967880643</v>
      </c>
      <c r="P26" s="5" t="n">
        <f aca="false">ABS(L26)/ABS($E26)</f>
        <v>0.000199046823836589</v>
      </c>
      <c r="Q26" s="5" t="n">
        <f aca="false">ABS(M26)/ABS($E26)</f>
        <v>0.0107326605945665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17" min="5" style="0" width="13"/>
  </cols>
  <sheetData>
    <row r="1" customFormat="false" ht="42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1.5</v>
      </c>
      <c r="D2" s="2" t="n">
        <v>1.5</v>
      </c>
      <c r="E2" s="13" t="n">
        <v>0.0727759850446227</v>
      </c>
      <c r="F2" s="13" t="n">
        <v>0.0400826371910655</v>
      </c>
      <c r="G2" s="13" t="n">
        <v>0.159304621566675</v>
      </c>
      <c r="H2" s="13" t="n">
        <v>0.162539725934335</v>
      </c>
      <c r="I2" s="13" t="n">
        <v>0.041353111136887</v>
      </c>
      <c r="J2" s="4" t="n">
        <f aca="false">F2-$E2</f>
        <v>-0.0326933478535572</v>
      </c>
      <c r="K2" s="4" t="n">
        <f aca="false">G2-$E2</f>
        <v>0.0865286365220527</v>
      </c>
      <c r="L2" s="4" t="n">
        <f aca="false">H2-$E2</f>
        <v>0.0897637408897118</v>
      </c>
      <c r="M2" s="4" t="n">
        <f aca="false">I2-$E2</f>
        <v>-0.0314228739077357</v>
      </c>
      <c r="N2" s="5" t="n">
        <f aca="false">ABS(J2)/ABS($E2)</f>
        <v>0.449232639496549</v>
      </c>
      <c r="O2" s="5" t="n">
        <f aca="false">ABS(K2)/ABS($E2)</f>
        <v>1.1889723851762</v>
      </c>
      <c r="P2" s="5" t="n">
        <f aca="false">ABS(L2)/ABS($E2)</f>
        <v>1.23342529592245</v>
      </c>
      <c r="Q2" s="5" t="n">
        <f aca="false">ABS(M2)/ABS($E2)</f>
        <v>0.43177531555868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4.5</v>
      </c>
      <c r="D3" s="2" t="n">
        <v>1.5</v>
      </c>
      <c r="E3" s="13" t="n">
        <v>0.0776668362643138</v>
      </c>
      <c r="F3" s="13" t="n">
        <v>0.0627279752192256</v>
      </c>
      <c r="G3" s="13" t="n">
        <v>0.0989133975120943</v>
      </c>
      <c r="H3" s="13" t="n">
        <v>0.0949695407254963</v>
      </c>
      <c r="I3" s="13" t="n">
        <v>0.0622872547685</v>
      </c>
      <c r="J3" s="4" t="n">
        <f aca="false">F3-$E3</f>
        <v>-0.0149388610450882</v>
      </c>
      <c r="K3" s="4" t="n">
        <f aca="false">G3-$E3</f>
        <v>0.0212465612477804</v>
      </c>
      <c r="L3" s="4" t="n">
        <f aca="false">H3-$E3</f>
        <v>0.0173027044611824</v>
      </c>
      <c r="M3" s="4" t="n">
        <f aca="false">I3-$E3</f>
        <v>-0.0153795814958138</v>
      </c>
      <c r="N3" s="5" t="n">
        <f aca="false">ABS(J3)/ABS($E3)</f>
        <v>0.192345430348787</v>
      </c>
      <c r="O3" s="5" t="n">
        <f aca="false">ABS(K3)/ABS($E3)</f>
        <v>0.273560277072117</v>
      </c>
      <c r="P3" s="5" t="n">
        <f aca="false">ABS(L3)/ABS($E3)</f>
        <v>0.222781116026128</v>
      </c>
      <c r="Q3" s="5" t="n">
        <f aca="false">ABS(M3)/ABS($E3)</f>
        <v>0.198019930198707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7.5</v>
      </c>
      <c r="D4" s="2" t="n">
        <v>1.5</v>
      </c>
      <c r="E4" s="13" t="n">
        <v>0.0603073301968659</v>
      </c>
      <c r="F4" s="13" t="n">
        <v>0.0515773200113248</v>
      </c>
      <c r="G4" s="13" t="n">
        <v>0.0488143934154045</v>
      </c>
      <c r="H4" s="13" t="n">
        <v>0.0511966693726882</v>
      </c>
      <c r="I4" s="13" t="n">
        <v>0.0482108457561368</v>
      </c>
      <c r="J4" s="4" t="n">
        <f aca="false">F4-$E4</f>
        <v>-0.00873001018554109</v>
      </c>
      <c r="K4" s="4" t="n">
        <f aca="false">G4-$E4</f>
        <v>-0.0114929367814613</v>
      </c>
      <c r="L4" s="4" t="n">
        <f aca="false">H4-$E4</f>
        <v>-0.00911066082417764</v>
      </c>
      <c r="M4" s="4" t="n">
        <f aca="false">I4-$E4</f>
        <v>-0.012096484440729</v>
      </c>
      <c r="N4" s="5" t="n">
        <f aca="false">ABS(J4)/ABS($E4)</f>
        <v>0.144758691141575</v>
      </c>
      <c r="O4" s="5" t="n">
        <f aca="false">ABS(K4)/ABS($E4)</f>
        <v>0.190572800088216</v>
      </c>
      <c r="P4" s="5" t="n">
        <f aca="false">ABS(L4)/ABS($E4)</f>
        <v>0.151070538099382</v>
      </c>
      <c r="Q4" s="5" t="n">
        <f aca="false">ABS(M4)/ABS($E4)</f>
        <v>0.200580665753923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10.5</v>
      </c>
      <c r="D5" s="2" t="n">
        <v>1.5</v>
      </c>
      <c r="E5" s="13" t="n">
        <v>0.0518544175055255</v>
      </c>
      <c r="F5" s="13" t="n">
        <v>0.0452140924839728</v>
      </c>
      <c r="G5" s="13" t="n">
        <v>0.0342126936251875</v>
      </c>
      <c r="H5" s="13" t="n">
        <v>0.0373175930820926</v>
      </c>
      <c r="I5" s="13" t="n">
        <v>0.0411967613800875</v>
      </c>
      <c r="J5" s="4" t="n">
        <f aca="false">F5-$E5</f>
        <v>-0.00664032502155276</v>
      </c>
      <c r="K5" s="4" t="n">
        <f aca="false">G5-$E5</f>
        <v>-0.0176417238803381</v>
      </c>
      <c r="L5" s="4" t="n">
        <f aca="false">H5-$E5</f>
        <v>-0.014536824423433</v>
      </c>
      <c r="M5" s="4" t="n">
        <f aca="false">I5-$E5</f>
        <v>-0.0106576561254381</v>
      </c>
      <c r="N5" s="5" t="n">
        <f aca="false">ABS(J5)/ABS($E5)</f>
        <v>0.128057074806504</v>
      </c>
      <c r="O5" s="5" t="n">
        <f aca="false">ABS(K5)/ABS($E5)</f>
        <v>0.340216412197827</v>
      </c>
      <c r="P5" s="5" t="n">
        <f aca="false">ABS(L5)/ABS($E5)</f>
        <v>0.280339171139738</v>
      </c>
      <c r="Q5" s="5" t="n">
        <f aca="false">ABS(M5)/ABS($E5)</f>
        <v>0.205530341254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13.5</v>
      </c>
      <c r="D6" s="2" t="n">
        <v>1.5</v>
      </c>
      <c r="E6" s="13" t="n">
        <v>0.0490082222887885</v>
      </c>
      <c r="F6" s="13" t="n">
        <v>0.0432868325561369</v>
      </c>
      <c r="G6" s="13" t="n">
        <v>0.0357224271113844</v>
      </c>
      <c r="H6" s="13" t="n">
        <v>0.0353135572541371</v>
      </c>
      <c r="I6" s="13" t="n">
        <v>0.0389683380449153</v>
      </c>
      <c r="J6" s="4" t="n">
        <f aca="false">F6-$E6</f>
        <v>-0.00572138973265159</v>
      </c>
      <c r="K6" s="4" t="n">
        <f aca="false">G6-$E6</f>
        <v>-0.0132857951774041</v>
      </c>
      <c r="L6" s="4" t="n">
        <f aca="false">H6-$E6</f>
        <v>-0.0136946650346514</v>
      </c>
      <c r="M6" s="4" t="n">
        <f aca="false">I6-$E6</f>
        <v>-0.0100398842438732</v>
      </c>
      <c r="N6" s="5" t="n">
        <f aca="false">ABS(J6)/ABS($E6)</f>
        <v>0.116743466003264</v>
      </c>
      <c r="O6" s="5" t="n">
        <f aca="false">ABS(K6)/ABS($E6)</f>
        <v>0.27109318716185</v>
      </c>
      <c r="P6" s="5" t="n">
        <f aca="false">ABS(L6)/ABS($E6)</f>
        <v>0.279436070011955</v>
      </c>
      <c r="Q6" s="5" t="n">
        <f aca="false">ABS(M6)/ABS($E6)</f>
        <v>0.20486122072969</v>
      </c>
    </row>
    <row r="7" customFormat="false" ht="15" hidden="false" customHeight="false" outlineLevel="0" collapsed="false">
      <c r="A7" s="2" t="n">
        <v>0</v>
      </c>
      <c r="B7" s="2" t="n">
        <v>1</v>
      </c>
      <c r="C7" s="2" t="n">
        <v>1.5</v>
      </c>
      <c r="D7" s="2" t="n">
        <v>4.5</v>
      </c>
      <c r="E7" s="13" t="n">
        <v>0.0804520815568264</v>
      </c>
      <c r="F7" s="13" t="n">
        <v>0.0635753739838213</v>
      </c>
      <c r="G7" s="13" t="n">
        <v>0.11963775930966</v>
      </c>
      <c r="H7" s="13" t="n">
        <v>0.0918463328894827</v>
      </c>
      <c r="I7" s="13" t="n">
        <v>0.0655557736993281</v>
      </c>
      <c r="J7" s="4" t="n">
        <f aca="false">F7-$E7</f>
        <v>-0.0168767075730051</v>
      </c>
      <c r="K7" s="4" t="n">
        <f aca="false">G7-$E7</f>
        <v>0.0391856777528339</v>
      </c>
      <c r="L7" s="4" t="n">
        <f aca="false">H7-$E7</f>
        <v>0.0113942513326563</v>
      </c>
      <c r="M7" s="4" t="n">
        <f aca="false">I7-$E7</f>
        <v>-0.0148963078574983</v>
      </c>
      <c r="N7" s="5" t="n">
        <f aca="false">ABS(J7)/ABS($E7)</f>
        <v>0.209773411034548</v>
      </c>
      <c r="O7" s="5" t="n">
        <f aca="false">ABS(K7)/ABS($E7)</f>
        <v>0.487068538122976</v>
      </c>
      <c r="P7" s="5" t="n">
        <f aca="false">ABS(L7)/ABS($E7)</f>
        <v>0.141627800203132</v>
      </c>
      <c r="Q7" s="5" t="n">
        <f aca="false">ABS(M7)/ABS($E7)</f>
        <v>0.185157519472961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4.5</v>
      </c>
      <c r="D8" s="2" t="n">
        <v>4.5</v>
      </c>
      <c r="E8" s="13" t="n">
        <v>0.129863957095484</v>
      </c>
      <c r="F8" s="13" t="n">
        <v>0.112256534621887</v>
      </c>
      <c r="G8" s="13" t="n">
        <v>0.115939688182621</v>
      </c>
      <c r="H8" s="13" t="n">
        <v>0.106287028890699</v>
      </c>
      <c r="I8" s="13" t="n">
        <v>0.113996615367845</v>
      </c>
      <c r="J8" s="4" t="n">
        <f aca="false">F8-$E8</f>
        <v>-0.0176074224735969</v>
      </c>
      <c r="K8" s="4" t="n">
        <f aca="false">G8-$E8</f>
        <v>-0.0139242689128631</v>
      </c>
      <c r="L8" s="4" t="n">
        <f aca="false">H8-$E8</f>
        <v>-0.0235769282047845</v>
      </c>
      <c r="M8" s="4" t="n">
        <f aca="false">I8-$E8</f>
        <v>-0.0158673417276386</v>
      </c>
      <c r="N8" s="5" t="n">
        <f aca="false">ABS(J8)/ABS($E8)</f>
        <v>0.135583597384537</v>
      </c>
      <c r="O8" s="5" t="n">
        <f aca="false">ABS(K8)/ABS($E8)</f>
        <v>0.107221966928246</v>
      </c>
      <c r="P8" s="5" t="n">
        <f aca="false">ABS(L8)/ABS($E8)</f>
        <v>0.181550976360972</v>
      </c>
      <c r="Q8" s="5" t="n">
        <f aca="false">ABS(M8)/ABS($E8)</f>
        <v>0.122184338769009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7.5</v>
      </c>
      <c r="D9" s="2" t="n">
        <v>4.5</v>
      </c>
      <c r="E9" s="13" t="n">
        <v>0.119062656052013</v>
      </c>
      <c r="F9" s="13" t="n">
        <v>0.1080720892645</v>
      </c>
      <c r="G9" s="13" t="n">
        <v>0.0811704875629737</v>
      </c>
      <c r="H9" s="13" t="n">
        <v>0.0861182552823005</v>
      </c>
      <c r="I9" s="13" t="n">
        <v>0.103747574004628</v>
      </c>
      <c r="J9" s="4" t="n">
        <f aca="false">F9-$E9</f>
        <v>-0.0109905667875129</v>
      </c>
      <c r="K9" s="4" t="n">
        <f aca="false">G9-$E9</f>
        <v>-0.0378921684890396</v>
      </c>
      <c r="L9" s="4" t="n">
        <f aca="false">H9-$E9</f>
        <v>-0.0329444007697129</v>
      </c>
      <c r="M9" s="4" t="n">
        <f aca="false">I9-$E9</f>
        <v>-0.0153150820473852</v>
      </c>
      <c r="N9" s="5" t="n">
        <f aca="false">ABS(J9)/ABS($E9)</f>
        <v>0.0923091013752591</v>
      </c>
      <c r="O9" s="5" t="n">
        <f aca="false">ABS(K9)/ABS($E9)</f>
        <v>0.318254016376774</v>
      </c>
      <c r="P9" s="5" t="n">
        <f aca="false">ABS(L9)/ABS($E9)</f>
        <v>0.276698016507551</v>
      </c>
      <c r="Q9" s="5" t="n">
        <f aca="false">ABS(M9)/ABS($E9)</f>
        <v>0.128630441779282</v>
      </c>
    </row>
    <row r="10" customFormat="false" ht="15" hidden="false" customHeight="false" outlineLevel="0" collapsed="false">
      <c r="A10" s="2" t="n">
        <v>3</v>
      </c>
      <c r="B10" s="2" t="n">
        <v>1</v>
      </c>
      <c r="C10" s="2" t="n">
        <v>10.5</v>
      </c>
      <c r="D10" s="2" t="n">
        <v>4.5</v>
      </c>
      <c r="E10" s="13" t="n">
        <v>0.108433700723891</v>
      </c>
      <c r="F10" s="13" t="n">
        <v>0.0998961153288049</v>
      </c>
      <c r="G10" s="13" t="n">
        <v>0.0784943205068872</v>
      </c>
      <c r="H10" s="13" t="n">
        <v>0.0736163751412641</v>
      </c>
      <c r="I10" s="13" t="n">
        <v>0.0929064168911276</v>
      </c>
      <c r="J10" s="4" t="n">
        <f aca="false">F10-$E10</f>
        <v>-0.00853758539508639</v>
      </c>
      <c r="K10" s="4" t="n">
        <f aca="false">G10-$E10</f>
        <v>-0.0299393802170041</v>
      </c>
      <c r="L10" s="4" t="n">
        <f aca="false">H10-$E10</f>
        <v>-0.0348173255826272</v>
      </c>
      <c r="M10" s="4" t="n">
        <f aca="false">I10-$E10</f>
        <v>-0.0155272838327637</v>
      </c>
      <c r="N10" s="5" t="n">
        <f aca="false">ABS(J10)/ABS($E10)</f>
        <v>0.0787355345993951</v>
      </c>
      <c r="O10" s="5" t="n">
        <f aca="false">ABS(K10)/ABS($E10)</f>
        <v>0.27610770468159</v>
      </c>
      <c r="P10" s="5" t="n">
        <f aca="false">ABS(L10)/ABS($E10)</f>
        <v>0.321093215026238</v>
      </c>
      <c r="Q10" s="5" t="n">
        <f aca="false">ABS(M10)/ABS($E10)</f>
        <v>0.143196107198272</v>
      </c>
    </row>
    <row r="11" customFormat="false" ht="15" hidden="false" customHeight="false" outlineLevel="0" collapsed="false">
      <c r="A11" s="2" t="n">
        <v>4</v>
      </c>
      <c r="B11" s="2" t="n">
        <v>1</v>
      </c>
      <c r="C11" s="2" t="n">
        <v>13.5</v>
      </c>
      <c r="D11" s="2" t="n">
        <v>4.5</v>
      </c>
      <c r="E11" s="13" t="n">
        <v>0.104631879921171</v>
      </c>
      <c r="F11" s="13" t="n">
        <v>0.0965039791569918</v>
      </c>
      <c r="G11" s="13" t="n">
        <v>0.0756216420568636</v>
      </c>
      <c r="H11" s="13" t="n">
        <v>0.0710872291672528</v>
      </c>
      <c r="I11" s="13" t="n">
        <v>0.0886816714455854</v>
      </c>
      <c r="J11" s="4" t="n">
        <f aca="false">F11-$E11</f>
        <v>-0.00812790076417953</v>
      </c>
      <c r="K11" s="4" t="n">
        <f aca="false">G11-$E11</f>
        <v>-0.0290102378643077</v>
      </c>
      <c r="L11" s="4" t="n">
        <f aca="false">H11-$E11</f>
        <v>-0.0335446507539185</v>
      </c>
      <c r="M11" s="4" t="n">
        <f aca="false">I11-$E11</f>
        <v>-0.0159502084755859</v>
      </c>
      <c r="N11" s="5" t="n">
        <f aca="false">ABS(J11)/ABS($E11)</f>
        <v>0.0776809206744925</v>
      </c>
      <c r="O11" s="5" t="n">
        <f aca="false">ABS(K11)/ABS($E11)</f>
        <v>0.277260027117583</v>
      </c>
      <c r="P11" s="5" t="n">
        <f aca="false">ABS(L11)/ABS($E11)</f>
        <v>0.320596846574779</v>
      </c>
      <c r="Q11" s="5" t="n">
        <f aca="false">ABS(M11)/ABS($E11)</f>
        <v>0.152441191801224</v>
      </c>
    </row>
    <row r="12" customFormat="false" ht="15" hidden="false" customHeight="false" outlineLevel="0" collapsed="false">
      <c r="A12" s="2" t="n">
        <v>0</v>
      </c>
      <c r="B12" s="2" t="n">
        <v>2</v>
      </c>
      <c r="C12" s="2" t="n">
        <v>1.5</v>
      </c>
      <c r="D12" s="2" t="n">
        <v>7.5</v>
      </c>
      <c r="E12" s="13" t="n">
        <v>0.0601199455000387</v>
      </c>
      <c r="F12" s="13" t="n">
        <v>0.0522848505506856</v>
      </c>
      <c r="G12" s="13" t="n">
        <v>0.0586329875343983</v>
      </c>
      <c r="H12" s="13" t="n">
        <v>0.0540093053366543</v>
      </c>
      <c r="I12" s="13" t="n">
        <v>0.0537639863596353</v>
      </c>
      <c r="J12" s="4" t="n">
        <f aca="false">F12-$E12</f>
        <v>-0.0078350949493531</v>
      </c>
      <c r="K12" s="4" t="n">
        <f aca="false">G12-$E12</f>
        <v>-0.00148695796564038</v>
      </c>
      <c r="L12" s="4" t="n">
        <f aca="false">H12-$E12</f>
        <v>-0.00611064016338448</v>
      </c>
      <c r="M12" s="4" t="n">
        <f aca="false">I12-$E12</f>
        <v>-0.0063559591404034</v>
      </c>
      <c r="N12" s="5" t="n">
        <f aca="false">ABS(J12)/ABS($E12)</f>
        <v>0.130324385429592</v>
      </c>
      <c r="O12" s="5" t="n">
        <f aca="false">ABS(K12)/ABS($E12)</f>
        <v>0.0247331888489391</v>
      </c>
      <c r="P12" s="5" t="n">
        <f aca="false">ABS(L12)/ABS($E12)</f>
        <v>0.101640813419908</v>
      </c>
      <c r="Q12" s="5" t="n">
        <f aca="false">ABS(M12)/ABS($E12)</f>
        <v>0.105721305758657</v>
      </c>
    </row>
    <row r="13" customFormat="false" ht="15" hidden="false" customHeight="false" outlineLevel="0" collapsed="false">
      <c r="A13" s="2" t="n">
        <v>1</v>
      </c>
      <c r="B13" s="2" t="n">
        <v>2</v>
      </c>
      <c r="C13" s="2" t="n">
        <v>4.5</v>
      </c>
      <c r="D13" s="2" t="n">
        <v>7.5</v>
      </c>
      <c r="E13" s="13" t="n">
        <v>0.122080305497502</v>
      </c>
      <c r="F13" s="13" t="n">
        <v>0.110711926271564</v>
      </c>
      <c r="G13" s="13" t="n">
        <v>0.0982015237781246</v>
      </c>
      <c r="H13" s="13" t="n">
        <v>0.0863262566912459</v>
      </c>
      <c r="I13" s="13" t="n">
        <v>0.113070616190685</v>
      </c>
      <c r="J13" s="4" t="n">
        <f aca="false">F13-$E13</f>
        <v>-0.011368379225938</v>
      </c>
      <c r="K13" s="4" t="n">
        <f aca="false">G13-$E13</f>
        <v>-0.0238787817193775</v>
      </c>
      <c r="L13" s="4" t="n">
        <f aca="false">H13-$E13</f>
        <v>-0.0357540488062562</v>
      </c>
      <c r="M13" s="4" t="n">
        <f aca="false">I13-$E13</f>
        <v>-0.0090096893068173</v>
      </c>
      <c r="N13" s="5" t="n">
        <f aca="false">ABS(J13)/ABS($E13)</f>
        <v>0.0931221393951263</v>
      </c>
      <c r="O13" s="5" t="n">
        <f aca="false">ABS(K13)/ABS($E13)</f>
        <v>0.195598967598145</v>
      </c>
      <c r="P13" s="5" t="n">
        <f aca="false">ABS(L13)/ABS($E13)</f>
        <v>0.292873192449438</v>
      </c>
      <c r="Q13" s="5" t="n">
        <f aca="false">ABS(M13)/ABS($E13)</f>
        <v>0.0738013332298029</v>
      </c>
    </row>
    <row r="14" customFormat="false" ht="15" hidden="false" customHeight="false" outlineLevel="0" collapsed="false">
      <c r="A14" s="2" t="n">
        <v>2</v>
      </c>
      <c r="B14" s="2" t="n">
        <v>2</v>
      </c>
      <c r="C14" s="2" t="n">
        <v>7.5</v>
      </c>
      <c r="D14" s="2" t="n">
        <v>7.5</v>
      </c>
      <c r="E14" s="13" t="n">
        <v>0.129753203681755</v>
      </c>
      <c r="F14" s="13" t="n">
        <v>0.121812272446123</v>
      </c>
      <c r="G14" s="13" t="n">
        <v>0.0964706935423917</v>
      </c>
      <c r="H14" s="13" t="n">
        <v>0.0888287795801964</v>
      </c>
      <c r="I14" s="13" t="n">
        <v>0.120632452864527</v>
      </c>
      <c r="J14" s="4" t="n">
        <f aca="false">F14-$E14</f>
        <v>-0.0079409312356316</v>
      </c>
      <c r="K14" s="4" t="n">
        <f aca="false">G14-$E14</f>
        <v>-0.0332825101393628</v>
      </c>
      <c r="L14" s="4" t="n">
        <f aca="false">H14-$E14</f>
        <v>-0.0409244241015582</v>
      </c>
      <c r="M14" s="4" t="n">
        <f aca="false">I14-$E14</f>
        <v>-0.0091207508172272</v>
      </c>
      <c r="N14" s="5" t="n">
        <f aca="false">ABS(J14)/ABS($E14)</f>
        <v>0.0612002710554131</v>
      </c>
      <c r="O14" s="5" t="n">
        <f aca="false">ABS(K14)/ABS($E14)</f>
        <v>0.256506268785431</v>
      </c>
      <c r="P14" s="5" t="n">
        <f aca="false">ABS(L14)/ABS($E14)</f>
        <v>0.315402032014049</v>
      </c>
      <c r="Q14" s="5" t="n">
        <f aca="false">ABS(M14)/ABS($E14)</f>
        <v>0.0702930683669103</v>
      </c>
    </row>
    <row r="15" customFormat="false" ht="15" hidden="false" customHeight="false" outlineLevel="0" collapsed="false">
      <c r="A15" s="2" t="n">
        <v>3</v>
      </c>
      <c r="B15" s="2" t="n">
        <v>2</v>
      </c>
      <c r="C15" s="2" t="n">
        <v>10.5</v>
      </c>
      <c r="D15" s="2" t="n">
        <v>7.5</v>
      </c>
      <c r="E15" s="13" t="n">
        <v>0.126019890708366</v>
      </c>
      <c r="F15" s="13" t="n">
        <v>0.119200856630756</v>
      </c>
      <c r="G15" s="13" t="n">
        <v>0.0944788376846792</v>
      </c>
      <c r="H15" s="13" t="n">
        <v>0.0874292498831519</v>
      </c>
      <c r="I15" s="13" t="n">
        <v>0.114474959739319</v>
      </c>
      <c r="J15" s="4" t="n">
        <f aca="false">F15-$E15</f>
        <v>-0.00681903407760939</v>
      </c>
      <c r="K15" s="4" t="n">
        <f aca="false">G15-$E15</f>
        <v>-0.0315410530236865</v>
      </c>
      <c r="L15" s="4" t="n">
        <f aca="false">H15-$E15</f>
        <v>-0.0385906408252138</v>
      </c>
      <c r="M15" s="4" t="n">
        <f aca="false">I15-$E15</f>
        <v>-0.0115449309690472</v>
      </c>
      <c r="N15" s="5" t="n">
        <f aca="false">ABS(J15)/ABS($E15)</f>
        <v>0.0541107759995599</v>
      </c>
      <c r="O15" s="5" t="n">
        <f aca="false">ABS(K15)/ABS($E15)</f>
        <v>0.250286306759927</v>
      </c>
      <c r="P15" s="5" t="n">
        <f aca="false">ABS(L15)/ABS($E15)</f>
        <v>0.306226585408807</v>
      </c>
      <c r="Q15" s="5" t="n">
        <f aca="false">ABS(M15)/ABS($E15)</f>
        <v>0.0916119741427517</v>
      </c>
    </row>
    <row r="16" customFormat="false" ht="15" hidden="false" customHeight="false" outlineLevel="0" collapsed="false">
      <c r="A16" s="2" t="n">
        <v>4</v>
      </c>
      <c r="B16" s="2" t="n">
        <v>2</v>
      </c>
      <c r="C16" s="2" t="n">
        <v>13.5</v>
      </c>
      <c r="D16" s="2" t="n">
        <v>7.5</v>
      </c>
      <c r="E16" s="13" t="n">
        <v>0.124353175927506</v>
      </c>
      <c r="F16" s="13" t="n">
        <v>0.117544443417569</v>
      </c>
      <c r="G16" s="13" t="n">
        <v>0.0864248225845037</v>
      </c>
      <c r="H16" s="13" t="n">
        <v>0.0874222153605641</v>
      </c>
      <c r="I16" s="13" t="n">
        <v>0.111737497869782</v>
      </c>
      <c r="J16" s="4" t="n">
        <f aca="false">F16-$E16</f>
        <v>-0.00680873250993751</v>
      </c>
      <c r="K16" s="4" t="n">
        <f aca="false">G16-$E16</f>
        <v>-0.0379283533430027</v>
      </c>
      <c r="L16" s="4" t="n">
        <f aca="false">H16-$E16</f>
        <v>-0.0369309605669422</v>
      </c>
      <c r="M16" s="4" t="n">
        <f aca="false">I16-$E16</f>
        <v>-0.0126156780577246</v>
      </c>
      <c r="N16" s="5" t="n">
        <f aca="false">ABS(J16)/ABS($E16)</f>
        <v>0.0547531855069529</v>
      </c>
      <c r="O16" s="5" t="n">
        <f aca="false">ABS(K16)/ABS($E16)</f>
        <v>0.305005103891465</v>
      </c>
      <c r="P16" s="5" t="n">
        <f aca="false">ABS(L16)/ABS($E16)</f>
        <v>0.296984458108828</v>
      </c>
      <c r="Q16" s="5" t="n">
        <f aca="false">ABS(M16)/ABS($E16)</f>
        <v>0.101450388891387</v>
      </c>
    </row>
    <row r="17" customFormat="false" ht="15" hidden="false" customHeight="false" outlineLevel="0" collapsed="false">
      <c r="A17" s="2" t="n">
        <v>0</v>
      </c>
      <c r="B17" s="2" t="n">
        <v>3</v>
      </c>
      <c r="C17" s="2" t="n">
        <v>1.5</v>
      </c>
      <c r="D17" s="2" t="n">
        <v>10.5</v>
      </c>
      <c r="E17" s="13" t="n">
        <v>0.0504357983098466</v>
      </c>
      <c r="F17" s="13" t="n">
        <v>0.0442840221826565</v>
      </c>
      <c r="G17" s="13" t="n">
        <v>0.0386770532602241</v>
      </c>
      <c r="H17" s="13" t="n">
        <v>0.039408047669656</v>
      </c>
      <c r="I17" s="13" t="n">
        <v>0.0466179137976902</v>
      </c>
      <c r="J17" s="4" t="n">
        <f aca="false">F17-$E17</f>
        <v>-0.00615177612719009</v>
      </c>
      <c r="K17" s="4" t="n">
        <f aca="false">G17-$E17</f>
        <v>-0.0117587450496225</v>
      </c>
      <c r="L17" s="4" t="n">
        <f aca="false">H17-$E17</f>
        <v>-0.0110277506401906</v>
      </c>
      <c r="M17" s="4" t="n">
        <f aca="false">I17-$E17</f>
        <v>-0.00381788451215636</v>
      </c>
      <c r="N17" s="5" t="n">
        <f aca="false">ABS(J17)/ABS($E17)</f>
        <v>0.121972415096859</v>
      </c>
      <c r="O17" s="5" t="n">
        <f aca="false">ABS(K17)/ABS($E17)</f>
        <v>0.233142835915554</v>
      </c>
      <c r="P17" s="5" t="n">
        <f aca="false">ABS(L17)/ABS($E17)</f>
        <v>0.218649273130226</v>
      </c>
      <c r="Q17" s="5" t="n">
        <f aca="false">ABS(M17)/ABS($E17)</f>
        <v>0.0756979098199581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4.5</v>
      </c>
      <c r="D18" s="2" t="n">
        <v>10.5</v>
      </c>
      <c r="E18" s="13" t="n">
        <v>0.110202144563534</v>
      </c>
      <c r="F18" s="13" t="n">
        <v>0.101394992625327</v>
      </c>
      <c r="G18" s="13" t="n">
        <v>0.0845261892103359</v>
      </c>
      <c r="H18" s="13" t="n">
        <v>0.0757577703103603</v>
      </c>
      <c r="I18" s="13" t="n">
        <v>0.104393792234104</v>
      </c>
      <c r="J18" s="4" t="n">
        <f aca="false">F18-$E18</f>
        <v>-0.00880715193820759</v>
      </c>
      <c r="K18" s="4" t="n">
        <f aca="false">G18-$E18</f>
        <v>-0.0256759553531982</v>
      </c>
      <c r="L18" s="4" t="n">
        <f aca="false">H18-$E18</f>
        <v>-0.0344443742531738</v>
      </c>
      <c r="M18" s="4" t="n">
        <f aca="false">I18-$E18</f>
        <v>-0.0058083523294299</v>
      </c>
      <c r="N18" s="5" t="n">
        <f aca="false">ABS(J18)/ABS($E18)</f>
        <v>0.079918153798995</v>
      </c>
      <c r="O18" s="5" t="n">
        <f aca="false">ABS(K18)/ABS($E18)</f>
        <v>0.23298961608134</v>
      </c>
      <c r="P18" s="5" t="n">
        <f aca="false">ABS(L18)/ABS($E18)</f>
        <v>0.312556297244432</v>
      </c>
      <c r="Q18" s="5" t="n">
        <f aca="false">ABS(M18)/ABS($E18)</f>
        <v>0.0527063457107339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7.5</v>
      </c>
      <c r="D19" s="2" t="n">
        <v>10.5</v>
      </c>
      <c r="E19" s="13" t="n">
        <v>0.129024789145335</v>
      </c>
      <c r="F19" s="13" t="n">
        <v>0.121813013856798</v>
      </c>
      <c r="G19" s="13" t="n">
        <v>0.0921033005525562</v>
      </c>
      <c r="H19" s="13" t="n">
        <v>0.0854731611118581</v>
      </c>
      <c r="I19" s="13" t="n">
        <v>0.120837094815842</v>
      </c>
      <c r="J19" s="4" t="n">
        <f aca="false">F19-$E19</f>
        <v>-0.0072117752885368</v>
      </c>
      <c r="K19" s="4" t="n">
        <f aca="false">G19-$E19</f>
        <v>-0.036921488592779</v>
      </c>
      <c r="L19" s="4" t="n">
        <f aca="false">H19-$E19</f>
        <v>-0.0435516280334771</v>
      </c>
      <c r="M19" s="4" t="n">
        <f aca="false">I19-$E19</f>
        <v>-0.00818769432949329</v>
      </c>
      <c r="N19" s="5" t="n">
        <f aca="false">ABS(J19)/ABS($E19)</f>
        <v>0.055894493889956</v>
      </c>
      <c r="O19" s="5" t="n">
        <f aca="false">ABS(K19)/ABS($E19)</f>
        <v>0.286158100604917</v>
      </c>
      <c r="P19" s="5" t="n">
        <f aca="false">ABS(L19)/ABS($E19)</f>
        <v>0.337544655736039</v>
      </c>
      <c r="Q19" s="5" t="n">
        <f aca="false">ABS(M19)/ABS($E19)</f>
        <v>0.0634583042819048</v>
      </c>
    </row>
    <row r="20" customFormat="false" ht="15" hidden="false" customHeight="false" outlineLevel="0" collapsed="false">
      <c r="A20" s="2" t="n">
        <v>3</v>
      </c>
      <c r="B20" s="2" t="n">
        <v>3</v>
      </c>
      <c r="C20" s="2" t="n">
        <v>10.5</v>
      </c>
      <c r="D20" s="2" t="n">
        <v>10.5</v>
      </c>
      <c r="E20" s="13" t="n">
        <v>0.132031111567657</v>
      </c>
      <c r="F20" s="13" t="n">
        <v>0.12508368145544</v>
      </c>
      <c r="G20" s="13" t="n">
        <v>0.0908925247605031</v>
      </c>
      <c r="H20" s="13" t="n">
        <v>0.090430661478617</v>
      </c>
      <c r="I20" s="13" t="n">
        <v>0.121581368533799</v>
      </c>
      <c r="J20" s="4" t="n">
        <f aca="false">F20-$E20</f>
        <v>-0.0069474301122171</v>
      </c>
      <c r="K20" s="4" t="n">
        <f aca="false">G20-$E20</f>
        <v>-0.0411385868071541</v>
      </c>
      <c r="L20" s="4" t="n">
        <f aca="false">H20-$E20</f>
        <v>-0.0416004500890402</v>
      </c>
      <c r="M20" s="4" t="n">
        <f aca="false">I20-$E20</f>
        <v>-0.0104497430338578</v>
      </c>
      <c r="N20" s="5" t="n">
        <f aca="false">ABS(J20)/ABS($E20)</f>
        <v>0.0526196441863402</v>
      </c>
      <c r="O20" s="5" t="n">
        <f aca="false">ABS(K20)/ABS($E20)</f>
        <v>0.311582522624399</v>
      </c>
      <c r="P20" s="5" t="n">
        <f aca="false">ABS(L20)/ABS($E20)</f>
        <v>0.315080662391627</v>
      </c>
      <c r="Q20" s="5" t="n">
        <f aca="false">ABS(M20)/ABS($E20)</f>
        <v>0.0791460657248425</v>
      </c>
    </row>
    <row r="21" customFormat="false" ht="15" hidden="false" customHeight="false" outlineLevel="0" collapsed="false">
      <c r="A21" s="2" t="n">
        <v>4</v>
      </c>
      <c r="B21" s="2" t="n">
        <v>3</v>
      </c>
      <c r="C21" s="2" t="n">
        <v>13.5</v>
      </c>
      <c r="D21" s="2" t="n">
        <v>10.5</v>
      </c>
      <c r="E21" s="13" t="n">
        <v>0.131271051405333</v>
      </c>
      <c r="F21" s="13" t="n">
        <v>0.124873076649851</v>
      </c>
      <c r="G21" s="13" t="n">
        <v>0.0866894265748004</v>
      </c>
      <c r="H21" s="13" t="n">
        <v>0.0908154096168134</v>
      </c>
      <c r="I21" s="13" t="n">
        <v>0.120467221157228</v>
      </c>
      <c r="J21" s="4" t="n">
        <f aca="false">F21-$E21</f>
        <v>-0.00639797475548169</v>
      </c>
      <c r="K21" s="4" t="n">
        <f aca="false">G21-$E21</f>
        <v>-0.0445816248305321</v>
      </c>
      <c r="L21" s="4" t="n">
        <f aca="false">H21-$E21</f>
        <v>-0.0404556417885191</v>
      </c>
      <c r="M21" s="4" t="n">
        <f aca="false">I21-$E21</f>
        <v>-0.0108038302481048</v>
      </c>
      <c r="N21" s="5" t="n">
        <f aca="false">ABS(J21)/ABS($E21)</f>
        <v>0.0487386570533844</v>
      </c>
      <c r="O21" s="5" t="n">
        <f aca="false">ABS(K21)/ABS($E21)</f>
        <v>0.339615051096643</v>
      </c>
      <c r="P21" s="5" t="n">
        <f aca="false">ABS(L21)/ABS($E21)</f>
        <v>0.308184031097626</v>
      </c>
      <c r="Q21" s="5" t="n">
        <f aca="false">ABS(M21)/ABS($E21)</f>
        <v>0.082301696622702</v>
      </c>
    </row>
    <row r="22" customFormat="false" ht="15" hidden="false" customHeight="false" outlineLevel="0" collapsed="false">
      <c r="A22" s="2" t="n">
        <v>0</v>
      </c>
      <c r="B22" s="2" t="n">
        <v>4</v>
      </c>
      <c r="C22" s="2" t="n">
        <v>1.5</v>
      </c>
      <c r="D22" s="2" t="n">
        <v>13.5</v>
      </c>
      <c r="E22" s="13" t="n">
        <v>0.0482484988428731</v>
      </c>
      <c r="F22" s="13" t="n">
        <v>0.0420053791049977</v>
      </c>
      <c r="G22" s="13" t="n">
        <v>0.0401850794211152</v>
      </c>
      <c r="H22" s="13" t="n">
        <v>0.0367530687136926</v>
      </c>
      <c r="I22" s="13" t="n">
        <v>0.0440699392067993</v>
      </c>
      <c r="J22" s="4" t="n">
        <f aca="false">F22-$E22</f>
        <v>-0.00624311973787543</v>
      </c>
      <c r="K22" s="4" t="n">
        <f aca="false">G22-$E22</f>
        <v>-0.00806341942175787</v>
      </c>
      <c r="L22" s="4" t="n">
        <f aca="false">H22-$E22</f>
        <v>-0.0114954301291805</v>
      </c>
      <c r="M22" s="4" t="n">
        <f aca="false">I22-$E22</f>
        <v>-0.00417855963607376</v>
      </c>
      <c r="N22" s="5" t="n">
        <f aca="false">ABS(J22)/ABS($E22)</f>
        <v>0.129395108399266</v>
      </c>
      <c r="O22" s="5" t="n">
        <f aca="false">ABS(K22)/ABS($E22)</f>
        <v>0.167122700501364</v>
      </c>
      <c r="P22" s="5" t="n">
        <f aca="false">ABS(L22)/ABS($E22)</f>
        <v>0.238254669158034</v>
      </c>
      <c r="Q22" s="5" t="n">
        <f aca="false">ABS(M22)/ABS($E22)</f>
        <v>0.0866049667095702</v>
      </c>
    </row>
    <row r="23" customFormat="false" ht="15" hidden="false" customHeight="false" outlineLevel="0" collapsed="false">
      <c r="A23" s="2" t="n">
        <v>1</v>
      </c>
      <c r="B23" s="2" t="n">
        <v>4</v>
      </c>
      <c r="C23" s="2" t="n">
        <v>4.5</v>
      </c>
      <c r="D23" s="2" t="n">
        <v>13.5</v>
      </c>
      <c r="E23" s="13" t="n">
        <v>0.104437682267802</v>
      </c>
      <c r="F23" s="13" t="n">
        <v>0.0961148855916363</v>
      </c>
      <c r="G23" s="13" t="n">
        <v>0.0818282355506781</v>
      </c>
      <c r="H23" s="13" t="n">
        <v>0.0741395720505861</v>
      </c>
      <c r="I23" s="13" t="n">
        <v>0.0988405640331976</v>
      </c>
      <c r="J23" s="4" t="n">
        <f aca="false">F23-$E23</f>
        <v>-0.00832279667616614</v>
      </c>
      <c r="K23" s="4" t="n">
        <f aca="false">G23-$E23</f>
        <v>-0.0226094467171243</v>
      </c>
      <c r="L23" s="4" t="n">
        <f aca="false">H23-$E23</f>
        <v>-0.0302981102172163</v>
      </c>
      <c r="M23" s="4" t="n">
        <f aca="false">I23-$E23</f>
        <v>-0.00559711823460476</v>
      </c>
      <c r="N23" s="5" t="n">
        <f aca="false">ABS(J23)/ABS($E23)</f>
        <v>0.0796915107214326</v>
      </c>
      <c r="O23" s="5" t="n">
        <f aca="false">ABS(K23)/ABS($E23)</f>
        <v>0.216487442330906</v>
      </c>
      <c r="P23" s="5" t="n">
        <f aca="false">ABS(L23)/ABS($E23)</f>
        <v>0.290107072076963</v>
      </c>
      <c r="Q23" s="5" t="n">
        <f aca="false">ABS(M23)/ABS($E23)</f>
        <v>0.0535928997375914</v>
      </c>
    </row>
    <row r="24" customFormat="false" ht="15" hidden="false" customHeight="false" outlineLevel="0" collapsed="false">
      <c r="A24" s="2" t="n">
        <v>2</v>
      </c>
      <c r="B24" s="2" t="n">
        <v>4</v>
      </c>
      <c r="C24" s="2" t="n">
        <v>7.5</v>
      </c>
      <c r="D24" s="2" t="n">
        <v>13.5</v>
      </c>
      <c r="E24" s="13" t="n">
        <v>0.125597383844306</v>
      </c>
      <c r="F24" s="13" t="n">
        <v>0.11876656367371</v>
      </c>
      <c r="G24" s="13" t="n">
        <v>0.0849682078389964</v>
      </c>
      <c r="H24" s="13" t="n">
        <v>0.0868017162869173</v>
      </c>
      <c r="I24" s="13" t="n">
        <v>0.117824577241713</v>
      </c>
      <c r="J24" s="4" t="n">
        <f aca="false">F24-$E24</f>
        <v>-0.00683082017059598</v>
      </c>
      <c r="K24" s="4" t="n">
        <f aca="false">G24-$E24</f>
        <v>-0.0406291760053093</v>
      </c>
      <c r="L24" s="4" t="n">
        <f aca="false">H24-$E24</f>
        <v>-0.0387956675573884</v>
      </c>
      <c r="M24" s="4" t="n">
        <f aca="false">I24-$E24</f>
        <v>-0.00777280660259279</v>
      </c>
      <c r="N24" s="5" t="n">
        <f aca="false">ABS(J24)/ABS($E24)</f>
        <v>0.0543866437462079</v>
      </c>
      <c r="O24" s="5" t="n">
        <f aca="false">ABS(K24)/ABS($E24)</f>
        <v>0.323487438684826</v>
      </c>
      <c r="P24" s="5" t="n">
        <f aca="false">ABS(L24)/ABS($E24)</f>
        <v>0.308889137416116</v>
      </c>
      <c r="Q24" s="5" t="n">
        <f aca="false">ABS(M24)/ABS($E24)</f>
        <v>0.0618866919411968</v>
      </c>
    </row>
    <row r="25" customFormat="false" ht="15" hidden="false" customHeight="false" outlineLevel="0" collapsed="false">
      <c r="A25" s="2" t="n">
        <v>3</v>
      </c>
      <c r="B25" s="2" t="n">
        <v>4</v>
      </c>
      <c r="C25" s="2" t="n">
        <v>10.5</v>
      </c>
      <c r="D25" s="2" t="n">
        <v>13.5</v>
      </c>
      <c r="E25" s="13" t="n">
        <v>0.131843498244046</v>
      </c>
      <c r="F25" s="13" t="n">
        <v>0.125543203008757</v>
      </c>
      <c r="G25" s="13" t="n">
        <v>0.082482800551452</v>
      </c>
      <c r="H25" s="13" t="n">
        <v>0.0918122741820122</v>
      </c>
      <c r="I25" s="13" t="n">
        <v>0.121466821725021</v>
      </c>
      <c r="J25" s="4" t="n">
        <f aca="false">F25-$E25</f>
        <v>-0.00630029523528919</v>
      </c>
      <c r="K25" s="4" t="n">
        <f aca="false">G25-$E25</f>
        <v>-0.0493606976925941</v>
      </c>
      <c r="L25" s="4" t="n">
        <f aca="false">H25-$E25</f>
        <v>-0.0400312240620339</v>
      </c>
      <c r="M25" s="4" t="n">
        <f aca="false">I25-$E25</f>
        <v>-0.0103766765190251</v>
      </c>
      <c r="N25" s="5" t="n">
        <f aca="false">ABS(J25)/ABS($E25)</f>
        <v>0.0477861655614383</v>
      </c>
      <c r="O25" s="5" t="n">
        <f aca="false">ABS(K25)/ABS($E25)</f>
        <v>0.374388561817633</v>
      </c>
      <c r="P25" s="5" t="n">
        <f aca="false">ABS(L25)/ABS($E25)</f>
        <v>0.303626834809366</v>
      </c>
      <c r="Q25" s="5" t="n">
        <f aca="false">ABS(M25)/ABS($E25)</f>
        <v>0.0787044993285718</v>
      </c>
    </row>
    <row r="26" customFormat="false" ht="15" hidden="false" customHeight="false" outlineLevel="0" collapsed="false">
      <c r="A26" s="2" t="n">
        <v>4</v>
      </c>
      <c r="B26" s="2" t="n">
        <v>4</v>
      </c>
      <c r="C26" s="2" t="n">
        <v>13.5</v>
      </c>
      <c r="D26" s="2" t="n">
        <v>13.5</v>
      </c>
      <c r="E26" s="13" t="n">
        <v>0.133148619179401</v>
      </c>
      <c r="F26" s="13" t="n">
        <v>0.126964664396309</v>
      </c>
      <c r="G26" s="13" t="n">
        <v>0.0773361856272734</v>
      </c>
      <c r="H26" s="13" t="n">
        <v>0.092837817821285</v>
      </c>
      <c r="I26" s="13" t="n">
        <v>0.122475682253064</v>
      </c>
      <c r="J26" s="4" t="n">
        <f aca="false">F26-$E26</f>
        <v>-0.0061839547830925</v>
      </c>
      <c r="K26" s="4" t="n">
        <f aca="false">G26-$E26</f>
        <v>-0.055812433552128</v>
      </c>
      <c r="L26" s="4" t="n">
        <f aca="false">H26-$E26</f>
        <v>-0.0403108013581164</v>
      </c>
      <c r="M26" s="4" t="n">
        <f aca="false">I26-$E26</f>
        <v>-0.0106729369263377</v>
      </c>
      <c r="N26" s="5" t="n">
        <f aca="false">ABS(J26)/ABS($E26)</f>
        <v>0.0464440023576991</v>
      </c>
      <c r="O26" s="5" t="n">
        <f aca="false">ABS(K26)/ABS($E26)</f>
        <v>0.4191739568619</v>
      </c>
      <c r="P26" s="5" t="n">
        <f aca="false">ABS(L26)/ABS($E26)</f>
        <v>0.302750427353682</v>
      </c>
      <c r="Q26" s="5" t="n">
        <f aca="false">ABS(M26)/ABS($E26)</f>
        <v>0.0801580744292754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17" min="5" style="0" width="13"/>
  </cols>
  <sheetData>
    <row r="1" customFormat="false" ht="42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1.5</v>
      </c>
      <c r="D2" s="2" t="n">
        <v>1.5</v>
      </c>
      <c r="E2" s="13" t="n">
        <v>0.491587964817415</v>
      </c>
      <c r="F2" s="13" t="n">
        <v>0.490479247407878</v>
      </c>
      <c r="G2" s="13" t="n">
        <v>0.463236163409127</v>
      </c>
      <c r="H2" s="13" t="n">
        <v>0.491914665317183</v>
      </c>
      <c r="I2" s="13" t="n">
        <v>0.491097298433109</v>
      </c>
      <c r="J2" s="4" t="n">
        <f aca="false">F2-$E2</f>
        <v>-0.00110871740953739</v>
      </c>
      <c r="K2" s="4" t="n">
        <f aca="false">G2-$E2</f>
        <v>-0.028351801408288</v>
      </c>
      <c r="L2" s="4" t="n">
        <f aca="false">H2-$E2</f>
        <v>0.000326700499767296</v>
      </c>
      <c r="M2" s="4" t="n">
        <f aca="false">I2-$E2</f>
        <v>-0.000490666384305893</v>
      </c>
      <c r="N2" s="5" t="n">
        <f aca="false">ABS(J2)/ABS($E2)</f>
        <v>0.00225537948218318</v>
      </c>
      <c r="O2" s="5" t="n">
        <f aca="false">ABS(K2)/ABS($E2)</f>
        <v>0.0576739127834799</v>
      </c>
      <c r="P2" s="5" t="n">
        <f aca="false">ABS(L2)/ABS($E2)</f>
        <v>0.000664581973418814</v>
      </c>
      <c r="Q2" s="5" t="n">
        <f aca="false">ABS(M2)/ABS($E2)</f>
        <v>0.000998125298873287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4.5</v>
      </c>
      <c r="D3" s="2" t="n">
        <v>1.5</v>
      </c>
      <c r="E3" s="13" t="n">
        <v>0.179887537735828</v>
      </c>
      <c r="F3" s="13" t="n">
        <v>0.194531107368731</v>
      </c>
      <c r="G3" s="13" t="n">
        <v>0.209218237891009</v>
      </c>
      <c r="H3" s="13" t="n">
        <v>0.194579434428177</v>
      </c>
      <c r="I3" s="13" t="n">
        <v>0.194775596147551</v>
      </c>
      <c r="J3" s="4" t="n">
        <f aca="false">F3-$E3</f>
        <v>0.0146435696329032</v>
      </c>
      <c r="K3" s="4" t="n">
        <f aca="false">G3-$E3</f>
        <v>0.0293307001551812</v>
      </c>
      <c r="L3" s="4" t="n">
        <f aca="false">H3-$E3</f>
        <v>0.0146918966923491</v>
      </c>
      <c r="M3" s="4" t="n">
        <f aca="false">I3-$E3</f>
        <v>0.0148880584117234</v>
      </c>
      <c r="N3" s="5" t="n">
        <f aca="false">ABS(J3)/ABS($E3)</f>
        <v>0.0814040250770896</v>
      </c>
      <c r="O3" s="5" t="n">
        <f aca="false">ABS(K3)/ABS($E3)</f>
        <v>0.163050206392033</v>
      </c>
      <c r="P3" s="5" t="n">
        <f aca="false">ABS(L3)/ABS($E3)</f>
        <v>0.0816726765915534</v>
      </c>
      <c r="Q3" s="5" t="n">
        <f aca="false">ABS(M3)/ABS($E3)</f>
        <v>0.0827631452357037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7.5</v>
      </c>
      <c r="D4" s="2" t="n">
        <v>1.5</v>
      </c>
      <c r="E4" s="13" t="n">
        <v>0.0825182877821539</v>
      </c>
      <c r="F4" s="13" t="n">
        <v>0.0864205609133345</v>
      </c>
      <c r="G4" s="13" t="n">
        <v>0.0911048191261381</v>
      </c>
      <c r="H4" s="13" t="n">
        <v>0.0839698418733825</v>
      </c>
      <c r="I4" s="13" t="n">
        <v>0.0851912317538785</v>
      </c>
      <c r="J4" s="4" t="n">
        <f aca="false">F4-$E4</f>
        <v>0.00390227313118056</v>
      </c>
      <c r="K4" s="4" t="n">
        <f aca="false">G4-$E4</f>
        <v>0.00858653134398417</v>
      </c>
      <c r="L4" s="4" t="n">
        <f aca="false">H4-$E4</f>
        <v>0.00145155409122857</v>
      </c>
      <c r="M4" s="4" t="n">
        <f aca="false">I4-$E4</f>
        <v>0.00267294397172455</v>
      </c>
      <c r="N4" s="5" t="n">
        <f aca="false">ABS(J4)/ABS($E4)</f>
        <v>0.0472897976444017</v>
      </c>
      <c r="O4" s="5" t="n">
        <f aca="false">ABS(K4)/ABS($E4)</f>
        <v>0.104056101680786</v>
      </c>
      <c r="P4" s="5" t="n">
        <f aca="false">ABS(L4)/ABS($E4)</f>
        <v>0.0175906957141505</v>
      </c>
      <c r="Q4" s="5" t="n">
        <f aca="false">ABS(M4)/ABS($E4)</f>
        <v>0.0323921405007948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10.5</v>
      </c>
      <c r="D5" s="2" t="n">
        <v>1.5</v>
      </c>
      <c r="E5" s="13" t="n">
        <v>0.03711358492931</v>
      </c>
      <c r="F5" s="13" t="n">
        <v>0.0375905998779127</v>
      </c>
      <c r="G5" s="13" t="n">
        <v>0.0337775226538696</v>
      </c>
      <c r="H5" s="13" t="n">
        <v>0.0364110187885463</v>
      </c>
      <c r="I5" s="13" t="n">
        <v>0.0367014883719706</v>
      </c>
      <c r="J5" s="4" t="n">
        <f aca="false">F5-$E5</f>
        <v>0.000477014948602757</v>
      </c>
      <c r="K5" s="4" t="n">
        <f aca="false">G5-$E5</f>
        <v>-0.00333606227544033</v>
      </c>
      <c r="L5" s="4" t="n">
        <f aca="false">H5-$E5</f>
        <v>-0.000702566140763701</v>
      </c>
      <c r="M5" s="4" t="n">
        <f aca="false">I5-$E5</f>
        <v>-0.000412096557339391</v>
      </c>
      <c r="N5" s="5" t="n">
        <f aca="false">ABS(J5)/ABS($E5)</f>
        <v>0.0128528394524896</v>
      </c>
      <c r="O5" s="5" t="n">
        <f aca="false">ABS(K5)/ABS($E5)</f>
        <v>0.0898879017425698</v>
      </c>
      <c r="P5" s="5" t="n">
        <f aca="false">ABS(L5)/ABS($E5)</f>
        <v>0.0189301610744927</v>
      </c>
      <c r="Q5" s="5" t="n">
        <f aca="false">ABS(M5)/ABS($E5)</f>
        <v>0.0111036580843459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13.5</v>
      </c>
      <c r="D6" s="2" t="n">
        <v>1.5</v>
      </c>
      <c r="E6" s="13" t="n">
        <v>0.0108259436121597</v>
      </c>
      <c r="F6" s="13" t="n">
        <v>0.0104311590616464</v>
      </c>
      <c r="G6" s="13" t="n">
        <v>0.00948859790543473</v>
      </c>
      <c r="H6" s="13" t="n">
        <v>0.00937704361042652</v>
      </c>
      <c r="I6" s="13" t="n">
        <v>0.0101832492900419</v>
      </c>
      <c r="J6" s="4" t="n">
        <f aca="false">F6-$E6</f>
        <v>-0.00039478455051333</v>
      </c>
      <c r="K6" s="4" t="n">
        <f aca="false">G6-$E6</f>
        <v>-0.00133734570672501</v>
      </c>
      <c r="L6" s="4" t="n">
        <f aca="false">H6-$E6</f>
        <v>-0.00144890000173323</v>
      </c>
      <c r="M6" s="4" t="n">
        <f aca="false">I6-$E6</f>
        <v>-0.00064269432211788</v>
      </c>
      <c r="N6" s="5" t="n">
        <f aca="false">ABS(J6)/ABS($E6)</f>
        <v>0.0364665256587801</v>
      </c>
      <c r="O6" s="5" t="n">
        <f aca="false">ABS(K6)/ABS($E6)</f>
        <v>0.12353156035497</v>
      </c>
      <c r="P6" s="5" t="n">
        <f aca="false">ABS(L6)/ABS($E6)</f>
        <v>0.133835908779888</v>
      </c>
      <c r="Q6" s="5" t="n">
        <f aca="false">ABS(M6)/ABS($E6)</f>
        <v>0.0593661250365283</v>
      </c>
    </row>
    <row r="7" customFormat="false" ht="15" hidden="false" customHeight="false" outlineLevel="0" collapsed="false">
      <c r="A7" s="2" t="n">
        <v>0</v>
      </c>
      <c r="B7" s="2" t="n">
        <v>1</v>
      </c>
      <c r="C7" s="2" t="n">
        <v>1.5</v>
      </c>
      <c r="D7" s="2" t="n">
        <v>4.5</v>
      </c>
      <c r="E7" s="13" t="n">
        <v>0.757634398967912</v>
      </c>
      <c r="F7" s="13" t="n">
        <v>0.741230448053295</v>
      </c>
      <c r="G7" s="13" t="n">
        <v>0.726637697173197</v>
      </c>
      <c r="H7" s="13" t="n">
        <v>0.74677331107857</v>
      </c>
      <c r="I7" s="13" t="n">
        <v>0.741595154915725</v>
      </c>
      <c r="J7" s="4" t="n">
        <f aca="false">F7-$E7</f>
        <v>-0.0164039509146172</v>
      </c>
      <c r="K7" s="4" t="n">
        <f aca="false">G7-$E7</f>
        <v>-0.0309967017947149</v>
      </c>
      <c r="L7" s="4" t="n">
        <f aca="false">H7-$E7</f>
        <v>-0.0108610878893418</v>
      </c>
      <c r="M7" s="4" t="n">
        <f aca="false">I7-$E7</f>
        <v>-0.0160392440521872</v>
      </c>
      <c r="N7" s="5" t="n">
        <f aca="false">ABS(J7)/ABS($E7)</f>
        <v>0.0216515392344428</v>
      </c>
      <c r="O7" s="5" t="n">
        <f aca="false">ABS(K7)/ABS($E7)</f>
        <v>0.0409124794715501</v>
      </c>
      <c r="P7" s="5" t="n">
        <f aca="false">ABS(L7)/ABS($E7)</f>
        <v>0.0143355263490377</v>
      </c>
      <c r="Q7" s="5" t="n">
        <f aca="false">ABS(M7)/ABS($E7)</f>
        <v>0.021170163437717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4.5</v>
      </c>
      <c r="D8" s="2" t="n">
        <v>4.5</v>
      </c>
      <c r="E8" s="13" t="n">
        <v>0.404046359023232</v>
      </c>
      <c r="F8" s="13" t="n">
        <v>0.401761297377249</v>
      </c>
      <c r="G8" s="13" t="n">
        <v>0.404362833106456</v>
      </c>
      <c r="H8" s="13" t="n">
        <v>0.404793625688796</v>
      </c>
      <c r="I8" s="13" t="n">
        <v>0.40130704936558</v>
      </c>
      <c r="J8" s="4" t="n">
        <f aca="false">F8-$E8</f>
        <v>-0.0022850616459833</v>
      </c>
      <c r="K8" s="4" t="n">
        <f aca="false">G8-$E8</f>
        <v>0.000316474083223939</v>
      </c>
      <c r="L8" s="4" t="n">
        <f aca="false">H8-$E8</f>
        <v>0.000747266665563739</v>
      </c>
      <c r="M8" s="4" t="n">
        <f aca="false">I8-$E8</f>
        <v>-0.0027393096576529</v>
      </c>
      <c r="N8" s="5" t="n">
        <f aca="false">ABS(J8)/ABS($E8)</f>
        <v>0.00565544422057745</v>
      </c>
      <c r="O8" s="5" t="n">
        <f aca="false">ABS(K8)/ABS($E8)</f>
        <v>0.000783261811810416</v>
      </c>
      <c r="P8" s="5" t="n">
        <f aca="false">ABS(L8)/ABS($E8)</f>
        <v>0.00184945773888479</v>
      </c>
      <c r="Q8" s="5" t="n">
        <f aca="false">ABS(M8)/ABS($E8)</f>
        <v>0.00677969147964873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7.5</v>
      </c>
      <c r="D9" s="2" t="n">
        <v>4.5</v>
      </c>
      <c r="E9" s="13" t="n">
        <v>0.205378946778042</v>
      </c>
      <c r="F9" s="13" t="n">
        <v>0.207142698666475</v>
      </c>
      <c r="G9" s="13" t="n">
        <v>0.199840590110634</v>
      </c>
      <c r="H9" s="13" t="n">
        <v>0.204483909466622</v>
      </c>
      <c r="I9" s="13" t="n">
        <v>0.204077455923252</v>
      </c>
      <c r="J9" s="4" t="n">
        <f aca="false">F9-$E9</f>
        <v>0.001763751888433</v>
      </c>
      <c r="K9" s="4" t="n">
        <f aca="false">G9-$E9</f>
        <v>-0.0055383566674079</v>
      </c>
      <c r="L9" s="4" t="n">
        <f aca="false">H9-$E9</f>
        <v>-0.000895037311419988</v>
      </c>
      <c r="M9" s="4" t="n">
        <f aca="false">I9-$E9</f>
        <v>-0.00130149085479009</v>
      </c>
      <c r="N9" s="5" t="n">
        <f aca="false">ABS(J9)/ABS($E9)</f>
        <v>0.00858779303381633</v>
      </c>
      <c r="O9" s="5" t="n">
        <f aca="false">ABS(K9)/ABS($E9)</f>
        <v>0.0269665258016604</v>
      </c>
      <c r="P9" s="5" t="n">
        <f aca="false">ABS(L9)/ABS($E9)</f>
        <v>0.00435797984876842</v>
      </c>
      <c r="Q9" s="5" t="n">
        <f aca="false">ABS(M9)/ABS($E9)</f>
        <v>0.00633702176005724</v>
      </c>
    </row>
    <row r="10" customFormat="false" ht="15" hidden="false" customHeight="false" outlineLevel="0" collapsed="false">
      <c r="A10" s="2" t="n">
        <v>3</v>
      </c>
      <c r="B10" s="2" t="n">
        <v>1</v>
      </c>
      <c r="C10" s="2" t="n">
        <v>10.5</v>
      </c>
      <c r="D10" s="2" t="n">
        <v>4.5</v>
      </c>
      <c r="E10" s="13" t="n">
        <v>0.0952247324731539</v>
      </c>
      <c r="F10" s="13" t="n">
        <v>0.0967262162930685</v>
      </c>
      <c r="G10" s="13" t="n">
        <v>0.0892637628722438</v>
      </c>
      <c r="H10" s="13" t="n">
        <v>0.0953558323942434</v>
      </c>
      <c r="I10" s="13" t="n">
        <v>0.0945446674513515</v>
      </c>
      <c r="J10" s="4" t="n">
        <f aca="false">F10-$E10</f>
        <v>0.00150148381991466</v>
      </c>
      <c r="K10" s="4" t="n">
        <f aca="false">G10-$E10</f>
        <v>-0.00596096960091012</v>
      </c>
      <c r="L10" s="4" t="n">
        <f aca="false">H10-$E10</f>
        <v>0.000131099921089548</v>
      </c>
      <c r="M10" s="4" t="n">
        <f aca="false">I10-$E10</f>
        <v>-0.000680065021802345</v>
      </c>
      <c r="N10" s="5" t="n">
        <f aca="false">ABS(J10)/ABS($E10)</f>
        <v>0.0157677924728008</v>
      </c>
      <c r="O10" s="5" t="n">
        <f aca="false">ABS(K10)/ABS($E10)</f>
        <v>0.0625989640095934</v>
      </c>
      <c r="P10" s="5" t="n">
        <f aca="false">ABS(L10)/ABS($E10)</f>
        <v>0.00137674234082524</v>
      </c>
      <c r="Q10" s="5" t="n">
        <f aca="false">ABS(M10)/ABS($E10)</f>
        <v>0.00714168477180098</v>
      </c>
    </row>
    <row r="11" customFormat="false" ht="15" hidden="false" customHeight="false" outlineLevel="0" collapsed="false">
      <c r="A11" s="2" t="n">
        <v>4</v>
      </c>
      <c r="B11" s="2" t="n">
        <v>1</v>
      </c>
      <c r="C11" s="2" t="n">
        <v>13.5</v>
      </c>
      <c r="D11" s="2" t="n">
        <v>4.5</v>
      </c>
      <c r="E11" s="13" t="n">
        <v>0.0280273410580535</v>
      </c>
      <c r="F11" s="13" t="n">
        <v>0.0276437650098096</v>
      </c>
      <c r="G11" s="13" t="n">
        <v>0.0260701015201775</v>
      </c>
      <c r="H11" s="13" t="n">
        <v>0.0262213850973944</v>
      </c>
      <c r="I11" s="13" t="n">
        <v>0.027295937505655</v>
      </c>
      <c r="J11" s="4" t="n">
        <f aca="false">F11-$E11</f>
        <v>-0.00038357604824386</v>
      </c>
      <c r="K11" s="4" t="n">
        <f aca="false">G11-$E11</f>
        <v>-0.00195723953787593</v>
      </c>
      <c r="L11" s="4" t="n">
        <f aca="false">H11-$E11</f>
        <v>-0.00180595596065903</v>
      </c>
      <c r="M11" s="4" t="n">
        <f aca="false">I11-$E11</f>
        <v>-0.000731403552398459</v>
      </c>
      <c r="N11" s="5" t="n">
        <f aca="false">ABS(J11)/ABS($E11)</f>
        <v>0.0136857808755156</v>
      </c>
      <c r="O11" s="5" t="n">
        <f aca="false">ABS(K11)/ABS($E11)</f>
        <v>0.0698332222747019</v>
      </c>
      <c r="P11" s="5" t="n">
        <f aca="false">ABS(L11)/ABS($E11)</f>
        <v>0.0644355080604444</v>
      </c>
      <c r="Q11" s="5" t="n">
        <f aca="false">ABS(M11)/ABS($E11)</f>
        <v>0.0260960735049212</v>
      </c>
    </row>
    <row r="12" customFormat="false" ht="15" hidden="false" customHeight="false" outlineLevel="0" collapsed="false">
      <c r="A12" s="2" t="n">
        <v>0</v>
      </c>
      <c r="B12" s="2" t="n">
        <v>2</v>
      </c>
      <c r="C12" s="2" t="n">
        <v>1.5</v>
      </c>
      <c r="D12" s="2" t="n">
        <v>7.5</v>
      </c>
      <c r="E12" s="13" t="n">
        <v>0.801471119842653</v>
      </c>
      <c r="F12" s="13" t="n">
        <v>0.792272888447726</v>
      </c>
      <c r="G12" s="13" t="n">
        <v>0.783723793141485</v>
      </c>
      <c r="H12" s="13" t="n">
        <v>0.797004326042873</v>
      </c>
      <c r="I12" s="13" t="n">
        <v>0.792499108247372</v>
      </c>
      <c r="J12" s="4" t="n">
        <f aca="false">F12-$E12</f>
        <v>-0.00919823139492781</v>
      </c>
      <c r="K12" s="4" t="n">
        <f aca="false">G12-$E12</f>
        <v>-0.0177473267011683</v>
      </c>
      <c r="L12" s="4" t="n">
        <f aca="false">H12-$E12</f>
        <v>-0.00446679379978054</v>
      </c>
      <c r="M12" s="4" t="n">
        <f aca="false">I12-$E12</f>
        <v>-0.00897201159528105</v>
      </c>
      <c r="N12" s="5" t="n">
        <f aca="false">ABS(J12)/ABS($E12)</f>
        <v>0.0114766847702929</v>
      </c>
      <c r="O12" s="5" t="n">
        <f aca="false">ABS(K12)/ABS($E12)</f>
        <v>0.0221434388111857</v>
      </c>
      <c r="P12" s="5" t="n">
        <f aca="false">ABS(L12)/ABS($E12)</f>
        <v>0.00557324361314164</v>
      </c>
      <c r="Q12" s="5" t="n">
        <f aca="false">ABS(M12)/ABS($E12)</f>
        <v>0.0111944290607033</v>
      </c>
    </row>
    <row r="13" customFormat="false" ht="15" hidden="false" customHeight="false" outlineLevel="0" collapsed="false">
      <c r="A13" s="2" t="n">
        <v>1</v>
      </c>
      <c r="B13" s="2" t="n">
        <v>2</v>
      </c>
      <c r="C13" s="2" t="n">
        <v>4.5</v>
      </c>
      <c r="D13" s="2" t="n">
        <v>7.5</v>
      </c>
      <c r="E13" s="13" t="n">
        <v>0.466786909384092</v>
      </c>
      <c r="F13" s="13" t="n">
        <v>0.460658643920276</v>
      </c>
      <c r="G13" s="13" t="n">
        <v>0.461192462430911</v>
      </c>
      <c r="H13" s="13" t="n">
        <v>0.4626429987693</v>
      </c>
      <c r="I13" s="13" t="n">
        <v>0.459400977254679</v>
      </c>
      <c r="J13" s="4" t="n">
        <f aca="false">F13-$E13</f>
        <v>-0.0061282654638159</v>
      </c>
      <c r="K13" s="4" t="n">
        <f aca="false">G13-$E13</f>
        <v>-0.00559444695318134</v>
      </c>
      <c r="L13" s="4" t="n">
        <f aca="false">H13-$E13</f>
        <v>-0.00414391061479241</v>
      </c>
      <c r="M13" s="4" t="n">
        <f aca="false">I13-$E13</f>
        <v>-0.00738593212941291</v>
      </c>
      <c r="N13" s="5" t="n">
        <f aca="false">ABS(J13)/ABS($E13)</f>
        <v>0.0131286146646698</v>
      </c>
      <c r="O13" s="5" t="n">
        <f aca="false">ABS(K13)/ABS($E13)</f>
        <v>0.0119850125200876</v>
      </c>
      <c r="P13" s="5" t="n">
        <f aca="false">ABS(L13)/ABS($E13)</f>
        <v>0.00887752105186529</v>
      </c>
      <c r="Q13" s="5" t="n">
        <f aca="false">ABS(M13)/ABS($E13)</f>
        <v>0.0158229204395607</v>
      </c>
    </row>
    <row r="14" customFormat="false" ht="15" hidden="false" customHeight="false" outlineLevel="0" collapsed="false">
      <c r="A14" s="2" t="n">
        <v>2</v>
      </c>
      <c r="B14" s="2" t="n">
        <v>2</v>
      </c>
      <c r="C14" s="2" t="n">
        <v>7.5</v>
      </c>
      <c r="D14" s="2" t="n">
        <v>7.5</v>
      </c>
      <c r="E14" s="13" t="n">
        <v>0.247072658791549</v>
      </c>
      <c r="F14" s="13" t="n">
        <v>0.24699738611934</v>
      </c>
      <c r="G14" s="13" t="n">
        <v>0.248647129064355</v>
      </c>
      <c r="H14" s="13" t="n">
        <v>0.244884909733577</v>
      </c>
      <c r="I14" s="13" t="n">
        <v>0.243937928563479</v>
      </c>
      <c r="J14" s="4" t="n">
        <f aca="false">F14-$E14</f>
        <v>-7.52726722095809E-005</v>
      </c>
      <c r="K14" s="4" t="n">
        <f aca="false">G14-$E14</f>
        <v>0.00157447027280572</v>
      </c>
      <c r="L14" s="4" t="n">
        <f aca="false">H14-$E14</f>
        <v>-0.0021877490579722</v>
      </c>
      <c r="M14" s="4" t="n">
        <f aca="false">I14-$E14</f>
        <v>-0.00313473022807059</v>
      </c>
      <c r="N14" s="5" t="n">
        <f aca="false">ABS(J14)/ABS($E14)</f>
        <v>0.000304658040989825</v>
      </c>
      <c r="O14" s="5" t="n">
        <f aca="false">ABS(K14)/ABS($E14)</f>
        <v>0.00637249900699887</v>
      </c>
      <c r="P14" s="5" t="n">
        <f aca="false">ABS(L14)/ABS($E14)</f>
        <v>0.00885467889758682</v>
      </c>
      <c r="Q14" s="5" t="n">
        <f aca="false">ABS(M14)/ABS($E14)</f>
        <v>0.0126874832828642</v>
      </c>
    </row>
    <row r="15" customFormat="false" ht="15" hidden="false" customHeight="false" outlineLevel="0" collapsed="false">
      <c r="A15" s="2" t="n">
        <v>3</v>
      </c>
      <c r="B15" s="2" t="n">
        <v>2</v>
      </c>
      <c r="C15" s="2" t="n">
        <v>10.5</v>
      </c>
      <c r="D15" s="2" t="n">
        <v>7.5</v>
      </c>
      <c r="E15" s="13" t="n">
        <v>0.116985262275284</v>
      </c>
      <c r="F15" s="13" t="n">
        <v>0.118034398747105</v>
      </c>
      <c r="G15" s="13" t="n">
        <v>0.116235666332501</v>
      </c>
      <c r="H15" s="13" t="n">
        <v>0.116120469413891</v>
      </c>
      <c r="I15" s="13" t="n">
        <v>0.116198692062537</v>
      </c>
      <c r="J15" s="4" t="n">
        <f aca="false">F15-$E15</f>
        <v>0.00104913647182099</v>
      </c>
      <c r="K15" s="4" t="n">
        <f aca="false">G15-$E15</f>
        <v>-0.000749595942782996</v>
      </c>
      <c r="L15" s="4" t="n">
        <f aca="false">H15-$E15</f>
        <v>-0.000864792861392599</v>
      </c>
      <c r="M15" s="4" t="n">
        <f aca="false">I15-$E15</f>
        <v>-0.000786570212746696</v>
      </c>
      <c r="N15" s="5" t="n">
        <f aca="false">ABS(J15)/ABS($E15)</f>
        <v>0.00896810804554352</v>
      </c>
      <c r="O15" s="5" t="n">
        <f aca="false">ABS(K15)/ABS($E15)</f>
        <v>0.00640761005449631</v>
      </c>
      <c r="P15" s="5" t="n">
        <f aca="false">ABS(L15)/ABS($E15)</f>
        <v>0.00739232314030816</v>
      </c>
      <c r="Q15" s="5" t="n">
        <f aca="false">ABS(M15)/ABS($E15)</f>
        <v>0.00672366926780724</v>
      </c>
    </row>
    <row r="16" customFormat="false" ht="15" hidden="false" customHeight="false" outlineLevel="0" collapsed="false">
      <c r="A16" s="2" t="n">
        <v>4</v>
      </c>
      <c r="B16" s="2" t="n">
        <v>2</v>
      </c>
      <c r="C16" s="2" t="n">
        <v>13.5</v>
      </c>
      <c r="D16" s="2" t="n">
        <v>7.5</v>
      </c>
      <c r="E16" s="13" t="n">
        <v>0.0345716241359074</v>
      </c>
      <c r="F16" s="13" t="n">
        <v>0.0340521679084843</v>
      </c>
      <c r="G16" s="13" t="n">
        <v>0.0334773045281165</v>
      </c>
      <c r="H16" s="13" t="n">
        <v>0.032198105383629</v>
      </c>
      <c r="I16" s="13" t="n">
        <v>0.0338064213159212</v>
      </c>
      <c r="J16" s="4" t="n">
        <f aca="false">F16-$E16</f>
        <v>-0.000519456227423151</v>
      </c>
      <c r="K16" s="4" t="n">
        <f aca="false">G16-$E16</f>
        <v>-0.00109431960779099</v>
      </c>
      <c r="L16" s="4" t="n">
        <f aca="false">H16-$E16</f>
        <v>-0.00237351875227842</v>
      </c>
      <c r="M16" s="4" t="n">
        <f aca="false">I16-$E16</f>
        <v>-0.00076520281998628</v>
      </c>
      <c r="N16" s="5" t="n">
        <f aca="false">ABS(J16)/ABS($E16)</f>
        <v>0.0150255083585623</v>
      </c>
      <c r="O16" s="5" t="n">
        <f aca="false">ABS(K16)/ABS($E16)</f>
        <v>0.0316536938932639</v>
      </c>
      <c r="P16" s="5" t="n">
        <f aca="false">ABS(L16)/ABS($E16)</f>
        <v>0.068655112729089</v>
      </c>
      <c r="Q16" s="5" t="n">
        <f aca="false">ABS(M16)/ABS($E16)</f>
        <v>0.0221338406601358</v>
      </c>
    </row>
    <row r="17" customFormat="false" ht="15" hidden="false" customHeight="false" outlineLevel="0" collapsed="false">
      <c r="A17" s="2" t="n">
        <v>0</v>
      </c>
      <c r="B17" s="2" t="n">
        <v>3</v>
      </c>
      <c r="C17" s="2" t="n">
        <v>1.5</v>
      </c>
      <c r="D17" s="2" t="n">
        <v>10.5</v>
      </c>
      <c r="E17" s="13" t="n">
        <v>0.758078388186843</v>
      </c>
      <c r="F17" s="13" t="n">
        <v>0.741555029819524</v>
      </c>
      <c r="G17" s="13" t="n">
        <v>0.756895958822</v>
      </c>
      <c r="H17" s="13" t="n">
        <v>0.744221489507778</v>
      </c>
      <c r="I17" s="13" t="n">
        <v>0.741105919695105</v>
      </c>
      <c r="J17" s="4" t="n">
        <f aca="false">F17-$E17</f>
        <v>-0.016523358367319</v>
      </c>
      <c r="K17" s="4" t="n">
        <f aca="false">G17-$E17</f>
        <v>-0.00118242936484303</v>
      </c>
      <c r="L17" s="4" t="n">
        <f aca="false">H17-$E17</f>
        <v>-0.0138568986790658</v>
      </c>
      <c r="M17" s="4" t="n">
        <f aca="false">I17-$E17</f>
        <v>-0.0169724684917388</v>
      </c>
      <c r="N17" s="5" t="n">
        <f aca="false">ABS(J17)/ABS($E17)</f>
        <v>0.0217963717536378</v>
      </c>
      <c r="O17" s="5" t="n">
        <f aca="false">ABS(K17)/ABS($E17)</f>
        <v>0.00155977189597917</v>
      </c>
      <c r="P17" s="5" t="n">
        <f aca="false">ABS(L17)/ABS($E17)</f>
        <v>0.0182789786584056</v>
      </c>
      <c r="Q17" s="5" t="n">
        <f aca="false">ABS(M17)/ABS($E17)</f>
        <v>0.022388804055387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4.5</v>
      </c>
      <c r="D18" s="2" t="n">
        <v>10.5</v>
      </c>
      <c r="E18" s="13" t="n">
        <v>0.401980953928658</v>
      </c>
      <c r="F18" s="13" t="n">
        <v>0.400690108051885</v>
      </c>
      <c r="G18" s="13" t="n">
        <v>0.419660887967042</v>
      </c>
      <c r="H18" s="13" t="n">
        <v>0.400104993823219</v>
      </c>
      <c r="I18" s="13" t="n">
        <v>0.401090231247653</v>
      </c>
      <c r="J18" s="4" t="n">
        <f aca="false">F18-$E18</f>
        <v>-0.00129084587677231</v>
      </c>
      <c r="K18" s="4" t="n">
        <f aca="false">G18-$E18</f>
        <v>0.0176799340383848</v>
      </c>
      <c r="L18" s="4" t="n">
        <f aca="false">H18-$E18</f>
        <v>-0.00187596010543839</v>
      </c>
      <c r="M18" s="4" t="n">
        <f aca="false">I18-$E18</f>
        <v>-0.000890722681004541</v>
      </c>
      <c r="N18" s="5" t="n">
        <f aca="false">ABS(J18)/ABS($E18)</f>
        <v>0.00321121153665754</v>
      </c>
      <c r="O18" s="5" t="n">
        <f aca="false">ABS(K18)/ABS($E18)</f>
        <v>0.0439820192115933</v>
      </c>
      <c r="P18" s="5" t="n">
        <f aca="false">ABS(L18)/ABS($E18)</f>
        <v>0.00466678853090968</v>
      </c>
      <c r="Q18" s="5" t="n">
        <f aca="false">ABS(M18)/ABS($E18)</f>
        <v>0.00221583304457411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7.5</v>
      </c>
      <c r="D19" s="2" t="n">
        <v>10.5</v>
      </c>
      <c r="E19" s="13" t="n">
        <v>0.203377202255853</v>
      </c>
      <c r="F19" s="13" t="n">
        <v>0.205990647982739</v>
      </c>
      <c r="G19" s="13" t="n">
        <v>0.198492562830046</v>
      </c>
      <c r="H19" s="13" t="n">
        <v>0.203806591684588</v>
      </c>
      <c r="I19" s="13" t="n">
        <v>0.206636990374459</v>
      </c>
      <c r="J19" s="4" t="n">
        <f aca="false">F19-$E19</f>
        <v>0.0026134457268861</v>
      </c>
      <c r="K19" s="4" t="n">
        <f aca="false">G19-$E19</f>
        <v>-0.00488463942580689</v>
      </c>
      <c r="L19" s="4" t="n">
        <f aca="false">H19-$E19</f>
        <v>0.000429389428735605</v>
      </c>
      <c r="M19" s="4" t="n">
        <f aca="false">I19-$E19</f>
        <v>0.00325978811860669</v>
      </c>
      <c r="N19" s="5" t="n">
        <f aca="false">ABS(J19)/ABS($E19)</f>
        <v>0.0128502393478613</v>
      </c>
      <c r="O19" s="5" t="n">
        <f aca="false">ABS(K19)/ABS($E19)</f>
        <v>0.0240176350723023</v>
      </c>
      <c r="P19" s="5" t="n">
        <f aca="false">ABS(L19)/ABS($E19)</f>
        <v>0.00211129577933432</v>
      </c>
      <c r="Q19" s="5" t="n">
        <f aca="false">ABS(M19)/ABS($E19)</f>
        <v>0.0160282867619834</v>
      </c>
    </row>
    <row r="20" customFormat="false" ht="15" hidden="false" customHeight="false" outlineLevel="0" collapsed="false">
      <c r="A20" s="2" t="n">
        <v>3</v>
      </c>
      <c r="B20" s="2" t="n">
        <v>3</v>
      </c>
      <c r="C20" s="2" t="n">
        <v>10.5</v>
      </c>
      <c r="D20" s="2" t="n">
        <v>10.5</v>
      </c>
      <c r="E20" s="13" t="n">
        <v>0.0944710852396891</v>
      </c>
      <c r="F20" s="13" t="n">
        <v>0.0958972349704383</v>
      </c>
      <c r="G20" s="13" t="n">
        <v>0.0898167226086261</v>
      </c>
      <c r="H20" s="13" t="n">
        <v>0.0942906942602519</v>
      </c>
      <c r="I20" s="13" t="n">
        <v>0.0956951673822343</v>
      </c>
      <c r="J20" s="4" t="n">
        <f aca="false">F20-$E20</f>
        <v>0.00142614973074917</v>
      </c>
      <c r="K20" s="4" t="n">
        <f aca="false">G20-$E20</f>
        <v>-0.00465436263106298</v>
      </c>
      <c r="L20" s="4" t="n">
        <f aca="false">H20-$E20</f>
        <v>-0.000180390979437159</v>
      </c>
      <c r="M20" s="4" t="n">
        <f aca="false">I20-$E20</f>
        <v>0.00122408214254523</v>
      </c>
      <c r="N20" s="5" t="n">
        <f aca="false">ABS(J20)/ABS($E20)</f>
        <v>0.0150961506066199</v>
      </c>
      <c r="O20" s="5" t="n">
        <f aca="false">ABS(K20)/ABS($E20)</f>
        <v>0.0492675893290955</v>
      </c>
      <c r="P20" s="5" t="n">
        <f aca="false">ABS(L20)/ABS($E20)</f>
        <v>0.00190948351000178</v>
      </c>
      <c r="Q20" s="5" t="n">
        <f aca="false">ABS(M20)/ABS($E20)</f>
        <v>0.012957214786297</v>
      </c>
    </row>
    <row r="21" customFormat="false" ht="15" hidden="false" customHeight="false" outlineLevel="0" collapsed="false">
      <c r="A21" s="2" t="n">
        <v>4</v>
      </c>
      <c r="B21" s="2" t="n">
        <v>3</v>
      </c>
      <c r="C21" s="2" t="n">
        <v>13.5</v>
      </c>
      <c r="D21" s="2" t="n">
        <v>10.5</v>
      </c>
      <c r="E21" s="13" t="n">
        <v>0.0276140384928443</v>
      </c>
      <c r="F21" s="13" t="n">
        <v>0.027400846043215</v>
      </c>
      <c r="G21" s="13" t="n">
        <v>0.0267737309300833</v>
      </c>
      <c r="H21" s="13" t="n">
        <v>0.0259163012774425</v>
      </c>
      <c r="I21" s="13" t="n">
        <v>0.0273378032229576</v>
      </c>
      <c r="J21" s="4" t="n">
        <f aca="false">F21-$E21</f>
        <v>-0.000213192449629279</v>
      </c>
      <c r="K21" s="4" t="n">
        <f aca="false">G21-$E21</f>
        <v>-0.000840307562760989</v>
      </c>
      <c r="L21" s="4" t="n">
        <f aca="false">H21-$E21</f>
        <v>-0.00169773721540171</v>
      </c>
      <c r="M21" s="4" t="n">
        <f aca="false">I21-$E21</f>
        <v>-0.000276235269886637</v>
      </c>
      <c r="N21" s="5" t="n">
        <f aca="false">ABS(J21)/ABS($E21)</f>
        <v>0.00772043718576422</v>
      </c>
      <c r="O21" s="5" t="n">
        <f aca="false">ABS(K21)/ABS($E21)</f>
        <v>0.0304304480121132</v>
      </c>
      <c r="P21" s="5" t="n">
        <f aca="false">ABS(L21)/ABS($E21)</f>
        <v>0.061480946216601</v>
      </c>
      <c r="Q21" s="5" t="n">
        <f aca="false">ABS(M21)/ABS($E21)</f>
        <v>0.010003436113056</v>
      </c>
    </row>
    <row r="22" customFormat="false" ht="15" hidden="false" customHeight="false" outlineLevel="0" collapsed="false">
      <c r="A22" s="2" t="n">
        <v>0</v>
      </c>
      <c r="B22" s="2" t="n">
        <v>4</v>
      </c>
      <c r="C22" s="2" t="n">
        <v>1.5</v>
      </c>
      <c r="D22" s="2" t="n">
        <v>13.5</v>
      </c>
      <c r="E22" s="13" t="n">
        <v>0.489726275143208</v>
      </c>
      <c r="F22" s="13" t="n">
        <v>0.489421149581989</v>
      </c>
      <c r="G22" s="13" t="n">
        <v>0.527829237106368</v>
      </c>
      <c r="H22" s="13" t="n">
        <v>0.492745510038849</v>
      </c>
      <c r="I22" s="13" t="n">
        <v>0.489060586024485</v>
      </c>
      <c r="J22" s="4" t="n">
        <f aca="false">F22-$E22</f>
        <v>-0.000305125561218866</v>
      </c>
      <c r="K22" s="4" t="n">
        <f aca="false">G22-$E22</f>
        <v>0.03810296196316</v>
      </c>
      <c r="L22" s="4" t="n">
        <f aca="false">H22-$E22</f>
        <v>0.00301923489564193</v>
      </c>
      <c r="M22" s="4" t="n">
        <f aca="false">I22-$E22</f>
        <v>-0.00066568911872239</v>
      </c>
      <c r="N22" s="5" t="n">
        <f aca="false">ABS(J22)/ABS($E22)</f>
        <v>0.000623053278343378</v>
      </c>
      <c r="O22" s="5" t="n">
        <f aca="false">ABS(K22)/ABS($E22)</f>
        <v>0.0778046102427685</v>
      </c>
      <c r="P22" s="5" t="n">
        <f aca="false">ABS(L22)/ABS($E22)</f>
        <v>0.00616514785684929</v>
      </c>
      <c r="Q22" s="5" t="n">
        <f aca="false">ABS(M22)/ABS($E22)</f>
        <v>0.00135930856176285</v>
      </c>
    </row>
    <row r="23" customFormat="false" ht="15" hidden="false" customHeight="false" outlineLevel="0" collapsed="false">
      <c r="A23" s="2" t="n">
        <v>1</v>
      </c>
      <c r="B23" s="2" t="n">
        <v>4</v>
      </c>
      <c r="C23" s="2" t="n">
        <v>4.5</v>
      </c>
      <c r="D23" s="2" t="n">
        <v>13.5</v>
      </c>
      <c r="E23" s="13" t="n">
        <v>0.177198161047775</v>
      </c>
      <c r="F23" s="13" t="n">
        <v>0.191867315909593</v>
      </c>
      <c r="G23" s="13" t="n">
        <v>0.211397610016107</v>
      </c>
      <c r="H23" s="13" t="n">
        <v>0.192600629891242</v>
      </c>
      <c r="I23" s="13" t="n">
        <v>0.192682788207012</v>
      </c>
      <c r="J23" s="4" t="n">
        <f aca="false">F23-$E23</f>
        <v>0.0146691548618188</v>
      </c>
      <c r="K23" s="4" t="n">
        <f aca="false">G23-$E23</f>
        <v>0.0341994489683325</v>
      </c>
      <c r="L23" s="4" t="n">
        <f aca="false">H23-$E23</f>
        <v>0.0154024688434672</v>
      </c>
      <c r="M23" s="4" t="n">
        <f aca="false">I23-$E23</f>
        <v>0.0154846271592375</v>
      </c>
      <c r="N23" s="5" t="n">
        <f aca="false">ABS(J23)/ABS($E23)</f>
        <v>0.0827839000985108</v>
      </c>
      <c r="O23" s="5" t="n">
        <f aca="false">ABS(K23)/ABS($E23)</f>
        <v>0.193001150610767</v>
      </c>
      <c r="P23" s="5" t="n">
        <f aca="false">ABS(L23)/ABS($E23)</f>
        <v>0.0869222838001942</v>
      </c>
      <c r="Q23" s="5" t="n">
        <f aca="false">ABS(M23)/ABS($E23)</f>
        <v>0.0873859359920934</v>
      </c>
    </row>
    <row r="24" customFormat="false" ht="15" hidden="false" customHeight="false" outlineLevel="0" collapsed="false">
      <c r="A24" s="2" t="n">
        <v>2</v>
      </c>
      <c r="B24" s="2" t="n">
        <v>4</v>
      </c>
      <c r="C24" s="2" t="n">
        <v>7.5</v>
      </c>
      <c r="D24" s="2" t="n">
        <v>13.5</v>
      </c>
      <c r="E24" s="13" t="n">
        <v>0.0810922750167528</v>
      </c>
      <c r="F24" s="13" t="n">
        <v>0.085297335858107</v>
      </c>
      <c r="G24" s="13" t="n">
        <v>0.079226198977288</v>
      </c>
      <c r="H24" s="13" t="n">
        <v>0.0825959349621884</v>
      </c>
      <c r="I24" s="13" t="n">
        <v>0.086668245047811</v>
      </c>
      <c r="J24" s="4" t="n">
        <f aca="false">F24-$E24</f>
        <v>0.00420506084135418</v>
      </c>
      <c r="K24" s="4" t="n">
        <f aca="false">G24-$E24</f>
        <v>-0.00186607603946483</v>
      </c>
      <c r="L24" s="4" t="n">
        <f aca="false">H24-$E24</f>
        <v>0.00150365994543558</v>
      </c>
      <c r="M24" s="4" t="n">
        <f aca="false">I24-$E24</f>
        <v>0.00557597003105817</v>
      </c>
      <c r="N24" s="5" t="n">
        <f aca="false">ABS(J24)/ABS($E24)</f>
        <v>0.0518552579821624</v>
      </c>
      <c r="O24" s="5" t="n">
        <f aca="false">ABS(K24)/ABS($E24)</f>
        <v>0.0230117608499616</v>
      </c>
      <c r="P24" s="5" t="n">
        <f aca="false">ABS(L24)/ABS($E24)</f>
        <v>0.0185425793656047</v>
      </c>
      <c r="Q24" s="5" t="n">
        <f aca="false">ABS(M24)/ABS($E24)</f>
        <v>0.0687608040335067</v>
      </c>
    </row>
    <row r="25" customFormat="false" ht="15" hidden="false" customHeight="false" outlineLevel="0" collapsed="false">
      <c r="A25" s="2" t="n">
        <v>3</v>
      </c>
      <c r="B25" s="2" t="n">
        <v>4</v>
      </c>
      <c r="C25" s="2" t="n">
        <v>10.5</v>
      </c>
      <c r="D25" s="2" t="n">
        <v>13.5</v>
      </c>
      <c r="E25" s="13" t="n">
        <v>0.0366363645449194</v>
      </c>
      <c r="F25" s="13" t="n">
        <v>0.0372575093812094</v>
      </c>
      <c r="G25" s="13" t="n">
        <v>0.0316785267145816</v>
      </c>
      <c r="H25" s="13" t="n">
        <v>0.0351051033973162</v>
      </c>
      <c r="I25" s="13" t="n">
        <v>0.037486108283132</v>
      </c>
      <c r="J25" s="4" t="n">
        <f aca="false">F25-$E25</f>
        <v>0.000621144836289958</v>
      </c>
      <c r="K25" s="4" t="n">
        <f aca="false">G25-$E25</f>
        <v>-0.00495783783033778</v>
      </c>
      <c r="L25" s="4" t="n">
        <f aca="false">H25-$E25</f>
        <v>-0.00153126114760316</v>
      </c>
      <c r="M25" s="4" t="n">
        <f aca="false">I25-$E25</f>
        <v>0.000849743738212568</v>
      </c>
      <c r="N25" s="5" t="n">
        <f aca="false">ABS(J25)/ABS($E25)</f>
        <v>0.0169543251358464</v>
      </c>
      <c r="O25" s="5" t="n">
        <f aca="false">ABS(K25)/ABS($E25)</f>
        <v>0.13532559499071</v>
      </c>
      <c r="P25" s="5" t="n">
        <f aca="false">ABS(L25)/ABS($E25)</f>
        <v>0.0417962089476892</v>
      </c>
      <c r="Q25" s="5" t="n">
        <f aca="false">ABS(M25)/ABS($E25)</f>
        <v>0.0231939972420219</v>
      </c>
    </row>
    <row r="26" customFormat="false" ht="15" hidden="false" customHeight="false" outlineLevel="0" collapsed="false">
      <c r="A26" s="2" t="n">
        <v>4</v>
      </c>
      <c r="B26" s="2" t="n">
        <v>4</v>
      </c>
      <c r="C26" s="2" t="n">
        <v>13.5</v>
      </c>
      <c r="D26" s="2" t="n">
        <v>13.5</v>
      </c>
      <c r="E26" s="13" t="n">
        <v>0.010606722793383</v>
      </c>
      <c r="F26" s="13" t="n">
        <v>0.010467836149394</v>
      </c>
      <c r="G26" s="13" t="n">
        <v>0.00935893849745496</v>
      </c>
      <c r="H26" s="13" t="n">
        <v>0.00950677114147173</v>
      </c>
      <c r="I26" s="13" t="n">
        <v>0.0103544925949449</v>
      </c>
      <c r="J26" s="4" t="n">
        <f aca="false">F26-$E26</f>
        <v>-0.00013888664398895</v>
      </c>
      <c r="K26" s="4" t="n">
        <f aca="false">G26-$E26</f>
        <v>-0.00124778429592799</v>
      </c>
      <c r="L26" s="4" t="n">
        <f aca="false">H26-$E26</f>
        <v>-0.00109995165191122</v>
      </c>
      <c r="M26" s="4" t="n">
        <f aca="false">I26-$E26</f>
        <v>-0.00025223019843802</v>
      </c>
      <c r="N26" s="5" t="n">
        <f aca="false">ABS(J26)/ABS($E26)</f>
        <v>0.0130942088988689</v>
      </c>
      <c r="O26" s="5" t="n">
        <f aca="false">ABS(K26)/ABS($E26)</f>
        <v>0.117640888730158</v>
      </c>
      <c r="P26" s="5" t="n">
        <f aca="false">ABS(L26)/ABS($E26)</f>
        <v>0.103703252487888</v>
      </c>
      <c r="Q26" s="5" t="n">
        <f aca="false">ABS(M26)/ABS($E26)</f>
        <v>0.0237802197107834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17" min="5" style="0" width="13"/>
  </cols>
  <sheetData>
    <row r="1" customFormat="false" ht="42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1.5</v>
      </c>
      <c r="D2" s="2" t="n">
        <v>1.5</v>
      </c>
      <c r="E2" s="13" t="n">
        <v>0.0751571389849429</v>
      </c>
      <c r="F2" s="13" t="n">
        <v>0.0390535625452848</v>
      </c>
      <c r="G2" s="13" t="n">
        <v>0.161442200481688</v>
      </c>
      <c r="H2" s="13" t="n">
        <v>0.161066169102852</v>
      </c>
      <c r="I2" s="13" t="n">
        <v>0.0427698295183932</v>
      </c>
      <c r="J2" s="4" t="n">
        <f aca="false">F2-$E2</f>
        <v>-0.0361035764396581</v>
      </c>
      <c r="K2" s="4" t="n">
        <f aca="false">G2-$E2</f>
        <v>0.0862850614967455</v>
      </c>
      <c r="L2" s="4" t="n">
        <f aca="false">H2-$E2</f>
        <v>0.0859090301179086</v>
      </c>
      <c r="M2" s="4" t="n">
        <f aca="false">I2-$E2</f>
        <v>-0.0323873094665497</v>
      </c>
      <c r="N2" s="5" t="n">
        <f aca="false">ABS(J2)/ABS($E2)</f>
        <v>0.480374544950297</v>
      </c>
      <c r="O2" s="5" t="n">
        <f aca="false">ABS(K2)/ABS($E2)</f>
        <v>1.14806208248603</v>
      </c>
      <c r="P2" s="5" t="n">
        <f aca="false">ABS(L2)/ABS($E2)</f>
        <v>1.14305881354957</v>
      </c>
      <c r="Q2" s="5" t="n">
        <f aca="false">ABS(M2)/ABS($E2)</f>
        <v>0.430927918544613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4.5</v>
      </c>
      <c r="D3" s="2" t="n">
        <v>1.5</v>
      </c>
      <c r="E3" s="13" t="n">
        <v>0.0734105685912577</v>
      </c>
      <c r="F3" s="13" t="n">
        <v>0.0553650314014933</v>
      </c>
      <c r="G3" s="13" t="n">
        <v>0.102271826949684</v>
      </c>
      <c r="H3" s="13" t="n">
        <v>0.0890499261430569</v>
      </c>
      <c r="I3" s="13" t="n">
        <v>0.055368583353418</v>
      </c>
      <c r="J3" s="4" t="n">
        <f aca="false">F3-$E3</f>
        <v>-0.0180455371897644</v>
      </c>
      <c r="K3" s="4" t="n">
        <f aca="false">G3-$E3</f>
        <v>0.0288612583584262</v>
      </c>
      <c r="L3" s="4" t="n">
        <f aca="false">H3-$E3</f>
        <v>0.0156393575517992</v>
      </c>
      <c r="M3" s="4" t="n">
        <f aca="false">I3-$E3</f>
        <v>-0.0180419852378397</v>
      </c>
      <c r="N3" s="5" t="n">
        <f aca="false">ABS(J3)/ABS($E3)</f>
        <v>0.245816611096421</v>
      </c>
      <c r="O3" s="5" t="n">
        <f aca="false">ABS(K3)/ABS($E3)</f>
        <v>0.393148546759291</v>
      </c>
      <c r="P3" s="5" t="n">
        <f aca="false">ABS(L3)/ABS($E3)</f>
        <v>0.213039591599917</v>
      </c>
      <c r="Q3" s="5" t="n">
        <f aca="false">ABS(M3)/ABS($E3)</f>
        <v>0.245768226347565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7.5</v>
      </c>
      <c r="D4" s="2" t="n">
        <v>1.5</v>
      </c>
      <c r="E4" s="13" t="n">
        <v>0.0429031904575997</v>
      </c>
      <c r="F4" s="13" t="n">
        <v>0.034608251461758</v>
      </c>
      <c r="G4" s="13" t="n">
        <v>0.0408118670788954</v>
      </c>
      <c r="H4" s="13" t="n">
        <v>0.0392329874020937</v>
      </c>
      <c r="I4" s="13" t="n">
        <v>0.0325187870284409</v>
      </c>
      <c r="J4" s="4" t="n">
        <f aca="false">F4-$E4</f>
        <v>-0.00829493899584172</v>
      </c>
      <c r="K4" s="4" t="n">
        <f aca="false">G4-$E4</f>
        <v>-0.00209132337870438</v>
      </c>
      <c r="L4" s="4" t="n">
        <f aca="false">H4-$E4</f>
        <v>-0.00367020305550601</v>
      </c>
      <c r="M4" s="4" t="n">
        <f aca="false">I4-$E4</f>
        <v>-0.0103844034291589</v>
      </c>
      <c r="N4" s="5" t="n">
        <f aca="false">ABS(J4)/ABS($E4)</f>
        <v>0.193340842659229</v>
      </c>
      <c r="O4" s="5" t="n">
        <f aca="false">ABS(K4)/ABS($E4)</f>
        <v>0.0487451715454865</v>
      </c>
      <c r="P4" s="5" t="n">
        <f aca="false">ABS(L4)/ABS($E4)</f>
        <v>0.0855461567393965</v>
      </c>
      <c r="Q4" s="5" t="n">
        <f aca="false">ABS(M4)/ABS($E4)</f>
        <v>0.242042685366757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10.5</v>
      </c>
      <c r="D5" s="2" t="n">
        <v>1.5</v>
      </c>
      <c r="E5" s="13" t="n">
        <v>0.0224267808360127</v>
      </c>
      <c r="F5" s="13" t="n">
        <v>0.0177959737539224</v>
      </c>
      <c r="G5" s="13" t="n">
        <v>0.0134808439784619</v>
      </c>
      <c r="H5" s="13" t="n">
        <v>0.0183270676666449</v>
      </c>
      <c r="I5" s="13" t="n">
        <v>0.0164965403125682</v>
      </c>
      <c r="J5" s="4" t="n">
        <f aca="false">F5-$E5</f>
        <v>-0.00463080708209031</v>
      </c>
      <c r="K5" s="4" t="n">
        <f aca="false">G5-$E5</f>
        <v>-0.00894593685755078</v>
      </c>
      <c r="L5" s="4" t="n">
        <f aca="false">H5-$E5</f>
        <v>-0.00409971316936783</v>
      </c>
      <c r="M5" s="4" t="n">
        <f aca="false">I5-$E5</f>
        <v>-0.00593024052344446</v>
      </c>
      <c r="N5" s="5" t="n">
        <f aca="false">ABS(J5)/ABS($E5)</f>
        <v>0.206485590417605</v>
      </c>
      <c r="O5" s="5" t="n">
        <f aca="false">ABS(K5)/ABS($E5)</f>
        <v>0.39889527270831</v>
      </c>
      <c r="P5" s="5" t="n">
        <f aca="false">ABS(L5)/ABS($E5)</f>
        <v>0.182804353390949</v>
      </c>
      <c r="Q5" s="5" t="n">
        <f aca="false">ABS(M5)/ABS($E5)</f>
        <v>0.264426739031655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13.5</v>
      </c>
      <c r="D6" s="2" t="n">
        <v>1.5</v>
      </c>
      <c r="E6" s="13" t="n">
        <v>0.00792779807957057</v>
      </c>
      <c r="F6" s="13" t="n">
        <v>0.00588199696755494</v>
      </c>
      <c r="G6" s="13" t="n">
        <v>0.00397882288753775</v>
      </c>
      <c r="H6" s="13" t="n">
        <v>0.00530700728402501</v>
      </c>
      <c r="I6" s="13" t="n">
        <v>0.00546091191815183</v>
      </c>
      <c r="J6" s="4" t="n">
        <f aca="false">F6-$E6</f>
        <v>-0.00204580111201563</v>
      </c>
      <c r="K6" s="4" t="n">
        <f aca="false">G6-$E6</f>
        <v>-0.00394897519203282</v>
      </c>
      <c r="L6" s="4" t="n">
        <f aca="false">H6-$E6</f>
        <v>-0.00262079079554557</v>
      </c>
      <c r="M6" s="4" t="n">
        <f aca="false">I6-$E6</f>
        <v>-0.00246688616141874</v>
      </c>
      <c r="N6" s="5" t="n">
        <f aca="false">ABS(J6)/ABS($E6)</f>
        <v>0.258054139558313</v>
      </c>
      <c r="O6" s="5" t="n">
        <f aca="false">ABS(K6)/ABS($E6)</f>
        <v>0.498117529280807</v>
      </c>
      <c r="P6" s="5" t="n">
        <f aca="false">ABS(L6)/ABS($E6)</f>
        <v>0.33058243527912</v>
      </c>
      <c r="Q6" s="5" t="n">
        <f aca="false">ABS(M6)/ABS($E6)</f>
        <v>0.311169146421092</v>
      </c>
    </row>
    <row r="7" customFormat="false" ht="15" hidden="false" customHeight="false" outlineLevel="0" collapsed="false">
      <c r="A7" s="2" t="n">
        <v>0</v>
      </c>
      <c r="B7" s="2" t="n">
        <v>1</v>
      </c>
      <c r="C7" s="2" t="n">
        <v>1.5</v>
      </c>
      <c r="D7" s="2" t="n">
        <v>4.5</v>
      </c>
      <c r="E7" s="13" t="n">
        <v>0.0843435810609699</v>
      </c>
      <c r="F7" s="13" t="n">
        <v>0.0661004129102384</v>
      </c>
      <c r="G7" s="13" t="n">
        <v>0.123239037116652</v>
      </c>
      <c r="H7" s="13" t="n">
        <v>0.0964944989506911</v>
      </c>
      <c r="I7" s="13" t="n">
        <v>0.0690836399158604</v>
      </c>
      <c r="J7" s="4" t="n">
        <f aca="false">F7-$E7</f>
        <v>-0.0182431681507315</v>
      </c>
      <c r="K7" s="4" t="n">
        <f aca="false">G7-$E7</f>
        <v>0.0388954560556821</v>
      </c>
      <c r="L7" s="4" t="n">
        <f aca="false">H7-$E7</f>
        <v>0.0121509178897212</v>
      </c>
      <c r="M7" s="4" t="n">
        <f aca="false">I7-$E7</f>
        <v>-0.0152599411451094</v>
      </c>
      <c r="N7" s="5" t="n">
        <f aca="false">ABS(J7)/ABS($E7)</f>
        <v>0.216295868888279</v>
      </c>
      <c r="O7" s="5" t="n">
        <f aca="false">ABS(K7)/ABS($E7)</f>
        <v>0.461154904337837</v>
      </c>
      <c r="P7" s="5" t="n">
        <f aca="false">ABS(L7)/ABS($E7)</f>
        <v>0.144064524376048</v>
      </c>
      <c r="Q7" s="5" t="n">
        <f aca="false">ABS(M7)/ABS($E7)</f>
        <v>0.180925933582052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4.5</v>
      </c>
      <c r="D8" s="2" t="n">
        <v>4.5</v>
      </c>
      <c r="E8" s="13" t="n">
        <v>0.120512075077158</v>
      </c>
      <c r="F8" s="13" t="n">
        <v>0.101423318862043</v>
      </c>
      <c r="G8" s="13" t="n">
        <v>0.115999801083217</v>
      </c>
      <c r="H8" s="13" t="n">
        <v>0.1045924464941</v>
      </c>
      <c r="I8" s="13" t="n">
        <v>0.104459966183013</v>
      </c>
      <c r="J8" s="4" t="n">
        <f aca="false">F8-$E8</f>
        <v>-0.0190887562151148</v>
      </c>
      <c r="K8" s="4" t="n">
        <f aca="false">G8-$E8</f>
        <v>-0.0045122739939408</v>
      </c>
      <c r="L8" s="4" t="n">
        <f aca="false">H8-$E8</f>
        <v>-0.015919628583058</v>
      </c>
      <c r="M8" s="4" t="n">
        <f aca="false">I8-$E8</f>
        <v>-0.0160521088941452</v>
      </c>
      <c r="N8" s="5" t="n">
        <f aca="false">ABS(J8)/ABS($E8)</f>
        <v>0.158397041980177</v>
      </c>
      <c r="O8" s="5" t="n">
        <f aca="false">ABS(K8)/ABS($E8)</f>
        <v>0.0374425051684806</v>
      </c>
      <c r="P8" s="5" t="n">
        <f aca="false">ABS(L8)/ABS($E8)</f>
        <v>0.132099862796865</v>
      </c>
      <c r="Q8" s="5" t="n">
        <f aca="false">ABS(M8)/ABS($E8)</f>
        <v>0.13319917430571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7.5</v>
      </c>
      <c r="D9" s="2" t="n">
        <v>4.5</v>
      </c>
      <c r="E9" s="13" t="n">
        <v>0.0865331001082338</v>
      </c>
      <c r="F9" s="13" t="n">
        <v>0.0753709615514462</v>
      </c>
      <c r="G9" s="13" t="n">
        <v>0.057307911925012</v>
      </c>
      <c r="H9" s="13" t="n">
        <v>0.06725253548377</v>
      </c>
      <c r="I9" s="13" t="n">
        <v>0.0727804461645265</v>
      </c>
      <c r="J9" s="4" t="n">
        <f aca="false">F9-$E9</f>
        <v>-0.0111621385567876</v>
      </c>
      <c r="K9" s="4" t="n">
        <f aca="false">G9-$E9</f>
        <v>-0.0292251881832218</v>
      </c>
      <c r="L9" s="4" t="n">
        <f aca="false">H9-$E9</f>
        <v>-0.0192805646244638</v>
      </c>
      <c r="M9" s="4" t="n">
        <f aca="false">I9-$E9</f>
        <v>-0.0137526539437073</v>
      </c>
      <c r="N9" s="5" t="n">
        <f aca="false">ABS(J9)/ABS($E9)</f>
        <v>0.128992703865067</v>
      </c>
      <c r="O9" s="5" t="n">
        <f aca="false">ABS(K9)/ABS($E9)</f>
        <v>0.337734209760976</v>
      </c>
      <c r="P9" s="5" t="n">
        <f aca="false">ABS(L9)/ABS($E9)</f>
        <v>0.222811439788336</v>
      </c>
      <c r="Q9" s="5" t="n">
        <f aca="false">ABS(M9)/ABS($E9)</f>
        <v>0.158929403043526</v>
      </c>
    </row>
    <row r="10" customFormat="false" ht="15" hidden="false" customHeight="false" outlineLevel="0" collapsed="false">
      <c r="A10" s="2" t="n">
        <v>3</v>
      </c>
      <c r="B10" s="2" t="n">
        <v>1</v>
      </c>
      <c r="C10" s="2" t="n">
        <v>10.5</v>
      </c>
      <c r="D10" s="2" t="n">
        <v>4.5</v>
      </c>
      <c r="E10" s="13" t="n">
        <v>0.0490886626387409</v>
      </c>
      <c r="F10" s="13" t="n">
        <v>0.0430821340938977</v>
      </c>
      <c r="G10" s="13" t="n">
        <v>0.0329841910644254</v>
      </c>
      <c r="H10" s="13" t="n">
        <v>0.0385821759829479</v>
      </c>
      <c r="I10" s="13" t="n">
        <v>0.0403758543503319</v>
      </c>
      <c r="J10" s="4" t="n">
        <f aca="false">F10-$E10</f>
        <v>-0.00600652854484314</v>
      </c>
      <c r="K10" s="4" t="n">
        <f aca="false">G10-$E10</f>
        <v>-0.0161044715743155</v>
      </c>
      <c r="L10" s="4" t="n">
        <f aca="false">H10-$E10</f>
        <v>-0.010506486655793</v>
      </c>
      <c r="M10" s="4" t="n">
        <f aca="false">I10-$E10</f>
        <v>-0.00871280828840895</v>
      </c>
      <c r="N10" s="5" t="n">
        <f aca="false">ABS(J10)/ABS($E10)</f>
        <v>0.122360810459374</v>
      </c>
      <c r="O10" s="5" t="n">
        <f aca="false">ABS(K10)/ABS($E10)</f>
        <v>0.328069063376883</v>
      </c>
      <c r="P10" s="5" t="n">
        <f aca="false">ABS(L10)/ABS($E10)</f>
        <v>0.21403081874757</v>
      </c>
      <c r="Q10" s="5" t="n">
        <f aca="false">ABS(M10)/ABS($E10)</f>
        <v>0.177491253989323</v>
      </c>
    </row>
    <row r="11" customFormat="false" ht="15" hidden="false" customHeight="false" outlineLevel="0" collapsed="false">
      <c r="A11" s="2" t="n">
        <v>4</v>
      </c>
      <c r="B11" s="2" t="n">
        <v>1</v>
      </c>
      <c r="C11" s="2" t="n">
        <v>13.5</v>
      </c>
      <c r="D11" s="2" t="n">
        <v>4.5</v>
      </c>
      <c r="E11" s="13" t="n">
        <v>0.0180316925864975</v>
      </c>
      <c r="F11" s="13" t="n">
        <v>0.0149626007411979</v>
      </c>
      <c r="G11" s="13" t="n">
        <v>0.0132482366371202</v>
      </c>
      <c r="H11" s="13" t="n">
        <v>0.0133195938999916</v>
      </c>
      <c r="I11" s="13" t="n">
        <v>0.0143501781362404</v>
      </c>
      <c r="J11" s="4" t="n">
        <f aca="false">F11-$E11</f>
        <v>-0.00306909184529958</v>
      </c>
      <c r="K11" s="4" t="n">
        <f aca="false">G11-$E11</f>
        <v>-0.00478345594937731</v>
      </c>
      <c r="L11" s="4" t="n">
        <f aca="false">H11-$E11</f>
        <v>-0.00471209868650591</v>
      </c>
      <c r="M11" s="4" t="n">
        <f aca="false">I11-$E11</f>
        <v>-0.00368151445025709</v>
      </c>
      <c r="N11" s="5" t="n">
        <f aca="false">ABS(J11)/ABS($E11)</f>
        <v>0.17020542195788</v>
      </c>
      <c r="O11" s="5" t="n">
        <f aca="false">ABS(K11)/ABS($E11)</f>
        <v>0.265280473612292</v>
      </c>
      <c r="P11" s="5" t="n">
        <f aca="false">ABS(L11)/ABS($E11)</f>
        <v>0.261323148889219</v>
      </c>
      <c r="Q11" s="5" t="n">
        <f aca="false">ABS(M11)/ABS($E11)</f>
        <v>0.204169100188292</v>
      </c>
    </row>
    <row r="12" customFormat="false" ht="15" hidden="false" customHeight="false" outlineLevel="0" collapsed="false">
      <c r="A12" s="2" t="n">
        <v>0</v>
      </c>
      <c r="B12" s="2" t="n">
        <v>2</v>
      </c>
      <c r="C12" s="2" t="n">
        <v>1.5</v>
      </c>
      <c r="D12" s="2" t="n">
        <v>7.5</v>
      </c>
      <c r="E12" s="13" t="n">
        <v>0.0742951489732808</v>
      </c>
      <c r="F12" s="13" t="n">
        <v>0.0617852037071377</v>
      </c>
      <c r="G12" s="13" t="n">
        <v>0.0714149145291675</v>
      </c>
      <c r="H12" s="13" t="n">
        <v>0.074213765226619</v>
      </c>
      <c r="I12" s="13" t="n">
        <v>0.0636987657515283</v>
      </c>
      <c r="J12" s="4" t="n">
        <f aca="false">F12-$E12</f>
        <v>-0.012509945266143</v>
      </c>
      <c r="K12" s="4" t="n">
        <f aca="false">G12-$E12</f>
        <v>-0.00288023444411327</v>
      </c>
      <c r="L12" s="4" t="n">
        <f aca="false">H12-$E12</f>
        <v>-8.13837466617506E-005</v>
      </c>
      <c r="M12" s="4" t="n">
        <f aca="false">I12-$E12</f>
        <v>-0.0105963832217525</v>
      </c>
      <c r="N12" s="5" t="n">
        <f aca="false">ABS(J12)/ABS($E12)</f>
        <v>0.168381723962113</v>
      </c>
      <c r="O12" s="5" t="n">
        <f aca="false">ABS(K12)/ABS($E12)</f>
        <v>0.0387674630701542</v>
      </c>
      <c r="P12" s="5" t="n">
        <f aca="false">ABS(L12)/ABS($E12)</f>
        <v>0.00109541131266887</v>
      </c>
      <c r="Q12" s="5" t="n">
        <f aca="false">ABS(M12)/ABS($E12)</f>
        <v>0.142625506082009</v>
      </c>
    </row>
    <row r="13" customFormat="false" ht="15" hidden="false" customHeight="false" outlineLevel="0" collapsed="false">
      <c r="A13" s="2" t="n">
        <v>1</v>
      </c>
      <c r="B13" s="2" t="n">
        <v>2</v>
      </c>
      <c r="C13" s="2" t="n">
        <v>4.5</v>
      </c>
      <c r="D13" s="2" t="n">
        <v>7.5</v>
      </c>
      <c r="E13" s="13" t="n">
        <v>0.120779624934927</v>
      </c>
      <c r="F13" s="13" t="n">
        <v>0.105207229647462</v>
      </c>
      <c r="G13" s="13" t="n">
        <v>0.100761321204214</v>
      </c>
      <c r="H13" s="13" t="n">
        <v>0.0986108696774371</v>
      </c>
      <c r="I13" s="13" t="n">
        <v>0.108683424617228</v>
      </c>
      <c r="J13" s="4" t="n">
        <f aca="false">F13-$E13</f>
        <v>-0.0155723952874647</v>
      </c>
      <c r="K13" s="4" t="n">
        <f aca="false">G13-$E13</f>
        <v>-0.0200183037307128</v>
      </c>
      <c r="L13" s="4" t="n">
        <f aca="false">H13-$E13</f>
        <v>-0.0221687552574896</v>
      </c>
      <c r="M13" s="4" t="n">
        <f aca="false">I13-$E13</f>
        <v>-0.0120962003176992</v>
      </c>
      <c r="N13" s="5" t="n">
        <f aca="false">ABS(J13)/ABS($E13)</f>
        <v>0.128932303737942</v>
      </c>
      <c r="O13" s="5" t="n">
        <f aca="false">ABS(K13)/ABS($E13)</f>
        <v>0.165742390254136</v>
      </c>
      <c r="P13" s="5" t="n">
        <f aca="false">ABS(L13)/ABS($E13)</f>
        <v>0.183547144391561</v>
      </c>
      <c r="Q13" s="5" t="n">
        <f aca="false">ABS(M13)/ABS($E13)</f>
        <v>0.10015100083492</v>
      </c>
    </row>
    <row r="14" customFormat="false" ht="15" hidden="false" customHeight="false" outlineLevel="0" collapsed="false">
      <c r="A14" s="2" t="n">
        <v>2</v>
      </c>
      <c r="B14" s="2" t="n">
        <v>2</v>
      </c>
      <c r="C14" s="2" t="n">
        <v>7.5</v>
      </c>
      <c r="D14" s="2" t="n">
        <v>7.5</v>
      </c>
      <c r="E14" s="13" t="n">
        <v>0.0979642272671014</v>
      </c>
      <c r="F14" s="13" t="n">
        <v>0.0876148818331432</v>
      </c>
      <c r="G14" s="13" t="n">
        <v>0.070411727430768</v>
      </c>
      <c r="H14" s="13" t="n">
        <v>0.0718764185676646</v>
      </c>
      <c r="I14" s="13" t="n">
        <v>0.0856669926396146</v>
      </c>
      <c r="J14" s="4" t="n">
        <f aca="false">F14-$E14</f>
        <v>-0.0103493454339582</v>
      </c>
      <c r="K14" s="4" t="n">
        <f aca="false">G14-$E14</f>
        <v>-0.0275524998363334</v>
      </c>
      <c r="L14" s="4" t="n">
        <f aca="false">H14-$E14</f>
        <v>-0.0260878086994368</v>
      </c>
      <c r="M14" s="4" t="n">
        <f aca="false">I14-$E14</f>
        <v>-0.0122972346274868</v>
      </c>
      <c r="N14" s="5" t="n">
        <f aca="false">ABS(J14)/ABS($E14)</f>
        <v>0.105644128705681</v>
      </c>
      <c r="O14" s="5" t="n">
        <f aca="false">ABS(K14)/ABS($E14)</f>
        <v>0.281250621833733</v>
      </c>
      <c r="P14" s="5" t="n">
        <f aca="false">ABS(L14)/ABS($E14)</f>
        <v>0.266299336270044</v>
      </c>
      <c r="Q14" s="5" t="n">
        <f aca="false">ABS(M14)/ABS($E14)</f>
        <v>0.12552780714493</v>
      </c>
    </row>
    <row r="15" customFormat="false" ht="15" hidden="false" customHeight="false" outlineLevel="0" collapsed="false">
      <c r="A15" s="2" t="n">
        <v>3</v>
      </c>
      <c r="B15" s="2" t="n">
        <v>2</v>
      </c>
      <c r="C15" s="2" t="n">
        <v>10.5</v>
      </c>
      <c r="D15" s="2" t="n">
        <v>7.5</v>
      </c>
      <c r="E15" s="13" t="n">
        <v>0.059542835237846</v>
      </c>
      <c r="F15" s="13" t="n">
        <v>0.0530410677789749</v>
      </c>
      <c r="G15" s="13" t="n">
        <v>0.0396938917920889</v>
      </c>
      <c r="H15" s="13" t="n">
        <v>0.0447804451568808</v>
      </c>
      <c r="I15" s="13" t="n">
        <v>0.0500869555723539</v>
      </c>
      <c r="J15" s="4" t="n">
        <f aca="false">F15-$E15</f>
        <v>-0.00650176745887111</v>
      </c>
      <c r="K15" s="4" t="n">
        <f aca="false">G15-$E15</f>
        <v>-0.0198489434457572</v>
      </c>
      <c r="L15" s="4" t="n">
        <f aca="false">H15-$E15</f>
        <v>-0.0147623900809653</v>
      </c>
      <c r="M15" s="4" t="n">
        <f aca="false">I15-$E15</f>
        <v>-0.00945587966549217</v>
      </c>
      <c r="N15" s="5" t="n">
        <f aca="false">ABS(J15)/ABS($E15)</f>
        <v>0.109194791160004</v>
      </c>
      <c r="O15" s="5" t="n">
        <f aca="false">ABS(K15)/ABS($E15)</f>
        <v>0.333355698741416</v>
      </c>
      <c r="P15" s="5" t="n">
        <f aca="false">ABS(L15)/ABS($E15)</f>
        <v>0.247928907348741</v>
      </c>
      <c r="Q15" s="5" t="n">
        <f aca="false">ABS(M15)/ABS($E15)</f>
        <v>0.158808018256442</v>
      </c>
    </row>
    <row r="16" customFormat="false" ht="15" hidden="false" customHeight="false" outlineLevel="0" collapsed="false">
      <c r="A16" s="2" t="n">
        <v>4</v>
      </c>
      <c r="B16" s="2" t="n">
        <v>2</v>
      </c>
      <c r="C16" s="2" t="n">
        <v>13.5</v>
      </c>
      <c r="D16" s="2" t="n">
        <v>7.5</v>
      </c>
      <c r="E16" s="13" t="n">
        <v>0.0216034389186675</v>
      </c>
      <c r="F16" s="13" t="n">
        <v>0.0184934420855466</v>
      </c>
      <c r="G16" s="13" t="n">
        <v>0.0151115605535972</v>
      </c>
      <c r="H16" s="13" t="n">
        <v>0.0161224336767368</v>
      </c>
      <c r="I16" s="13" t="n">
        <v>0.0179731835544795</v>
      </c>
      <c r="J16" s="4" t="n">
        <f aca="false">F16-$E16</f>
        <v>-0.00310999683312099</v>
      </c>
      <c r="K16" s="4" t="n">
        <f aca="false">G16-$E16</f>
        <v>-0.00649187836507031</v>
      </c>
      <c r="L16" s="4" t="n">
        <f aca="false">H16-$E16</f>
        <v>-0.00548100524193078</v>
      </c>
      <c r="M16" s="4" t="n">
        <f aca="false">I16-$E16</f>
        <v>-0.00363025536418805</v>
      </c>
      <c r="N16" s="5" t="n">
        <f aca="false">ABS(J16)/ABS($E16)</f>
        <v>0.143958415362919</v>
      </c>
      <c r="O16" s="5" t="n">
        <f aca="false">ABS(K16)/ABS($E16)</f>
        <v>0.300502081613529</v>
      </c>
      <c r="P16" s="5" t="n">
        <f aca="false">ABS(L16)/ABS($E16)</f>
        <v>0.253709849740388</v>
      </c>
      <c r="Q16" s="5" t="n">
        <f aca="false">ABS(M16)/ABS($E16)</f>
        <v>0.168040624358705</v>
      </c>
    </row>
    <row r="17" customFormat="false" ht="15" hidden="false" customHeight="false" outlineLevel="0" collapsed="false">
      <c r="A17" s="2" t="n">
        <v>0</v>
      </c>
      <c r="B17" s="2" t="n">
        <v>3</v>
      </c>
      <c r="C17" s="2" t="n">
        <v>1.5</v>
      </c>
      <c r="D17" s="2" t="n">
        <v>10.5</v>
      </c>
      <c r="E17" s="13" t="n">
        <v>0.0823342164131849</v>
      </c>
      <c r="F17" s="13" t="n">
        <v>0.0640838869445809</v>
      </c>
      <c r="G17" s="13" t="n">
        <v>0.0779784576879167</v>
      </c>
      <c r="H17" s="13" t="n">
        <v>0.0987268525709894</v>
      </c>
      <c r="I17" s="13" t="n">
        <v>0.067456980705394</v>
      </c>
      <c r="J17" s="4" t="n">
        <f aca="false">F17-$E17</f>
        <v>-0.018250329468604</v>
      </c>
      <c r="K17" s="4" t="n">
        <f aca="false">G17-$E17</f>
        <v>-0.00435575872526825</v>
      </c>
      <c r="L17" s="4" t="n">
        <f aca="false">H17-$E17</f>
        <v>0.0163926361578045</v>
      </c>
      <c r="M17" s="4" t="n">
        <f aca="false">I17-$E17</f>
        <v>-0.0148772357077909</v>
      </c>
      <c r="N17" s="5" t="n">
        <f aca="false">ABS(J17)/ABS($E17)</f>
        <v>0.221661543203579</v>
      </c>
      <c r="O17" s="5" t="n">
        <f aca="false">ABS(K17)/ABS($E17)</f>
        <v>0.0529033847047183</v>
      </c>
      <c r="P17" s="5" t="n">
        <f aca="false">ABS(L17)/ABS($E17)</f>
        <v>0.199098708555626</v>
      </c>
      <c r="Q17" s="5" t="n">
        <f aca="false">ABS(M17)/ABS($E17)</f>
        <v>0.180693232484672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4.5</v>
      </c>
      <c r="D18" s="2" t="n">
        <v>10.5</v>
      </c>
      <c r="E18" s="13" t="n">
        <v>0.117325798834664</v>
      </c>
      <c r="F18" s="13" t="n">
        <v>0.099463896186777</v>
      </c>
      <c r="G18" s="13" t="n">
        <v>0.105037165185931</v>
      </c>
      <c r="H18" s="13" t="n">
        <v>0.105815325894209</v>
      </c>
      <c r="I18" s="13" t="n">
        <v>0.105651441436465</v>
      </c>
      <c r="J18" s="4" t="n">
        <f aca="false">F18-$E18</f>
        <v>-0.0178619026478869</v>
      </c>
      <c r="K18" s="4" t="n">
        <f aca="false">G18-$E18</f>
        <v>-0.0122886336487326</v>
      </c>
      <c r="L18" s="4" t="n">
        <f aca="false">H18-$E18</f>
        <v>-0.0115104729404547</v>
      </c>
      <c r="M18" s="4" t="n">
        <f aca="false">I18-$E18</f>
        <v>-0.0116743573981986</v>
      </c>
      <c r="N18" s="5" t="n">
        <f aca="false">ABS(J18)/ABS($E18)</f>
        <v>0.152241900974039</v>
      </c>
      <c r="O18" s="5" t="n">
        <f aca="false">ABS(K18)/ABS($E18)</f>
        <v>0.104739398928362</v>
      </c>
      <c r="P18" s="5" t="n">
        <f aca="false">ABS(L18)/ABS($E18)</f>
        <v>0.0981069215362882</v>
      </c>
      <c r="Q18" s="5" t="n">
        <f aca="false">ABS(M18)/ABS($E18)</f>
        <v>0.0995037537707301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7.5</v>
      </c>
      <c r="D19" s="2" t="n">
        <v>10.5</v>
      </c>
      <c r="E19" s="13" t="n">
        <v>0.0880615867966038</v>
      </c>
      <c r="F19" s="13" t="n">
        <v>0.0775906216870945</v>
      </c>
      <c r="G19" s="13" t="n">
        <v>0.0867191851461797</v>
      </c>
      <c r="H19" s="13" t="n">
        <v>0.0673595263150496</v>
      </c>
      <c r="I19" s="13" t="n">
        <v>0.0787505831061483</v>
      </c>
      <c r="J19" s="4" t="n">
        <f aca="false">F19-$E19</f>
        <v>-0.0104709651095094</v>
      </c>
      <c r="K19" s="4" t="n">
        <f aca="false">G19-$E19</f>
        <v>-0.00134240165042414</v>
      </c>
      <c r="L19" s="4" t="n">
        <f aca="false">H19-$E19</f>
        <v>-0.0207020604815542</v>
      </c>
      <c r="M19" s="4" t="n">
        <f aca="false">I19-$E19</f>
        <v>-0.00931100369045555</v>
      </c>
      <c r="N19" s="5" t="n">
        <f aca="false">ABS(J19)/ABS($E19)</f>
        <v>0.118905024204188</v>
      </c>
      <c r="O19" s="5" t="n">
        <f aca="false">ABS(K19)/ABS($E19)</f>
        <v>0.0152438957694992</v>
      </c>
      <c r="P19" s="5" t="n">
        <f aca="false">ABS(L19)/ABS($E19)</f>
        <v>0.235086162248812</v>
      </c>
      <c r="Q19" s="5" t="n">
        <f aca="false">ABS(M19)/ABS($E19)</f>
        <v>0.105732862978738</v>
      </c>
    </row>
    <row r="20" customFormat="false" ht="15" hidden="false" customHeight="false" outlineLevel="0" collapsed="false">
      <c r="A20" s="2" t="n">
        <v>3</v>
      </c>
      <c r="B20" s="2" t="n">
        <v>3</v>
      </c>
      <c r="C20" s="2" t="n">
        <v>10.5</v>
      </c>
      <c r="D20" s="2" t="n">
        <v>10.5</v>
      </c>
      <c r="E20" s="13" t="n">
        <v>0.051132367379206</v>
      </c>
      <c r="F20" s="13" t="n">
        <v>0.0441048512141657</v>
      </c>
      <c r="G20" s="13" t="n">
        <v>0.050194020485432</v>
      </c>
      <c r="H20" s="13" t="n">
        <v>0.0383663992636025</v>
      </c>
      <c r="I20" s="13" t="n">
        <v>0.0439851905180924</v>
      </c>
      <c r="J20" s="4" t="n">
        <f aca="false">F20-$E20</f>
        <v>-0.00702751616504034</v>
      </c>
      <c r="K20" s="4" t="n">
        <f aca="false">G20-$E20</f>
        <v>-0.00093834689377402</v>
      </c>
      <c r="L20" s="4" t="n">
        <f aca="false">H20-$E20</f>
        <v>-0.0127659681156035</v>
      </c>
      <c r="M20" s="4" t="n">
        <f aca="false">I20-$E20</f>
        <v>-0.00714717686111361</v>
      </c>
      <c r="N20" s="5" t="n">
        <f aca="false">ABS(J20)/ABS($E20)</f>
        <v>0.137437723407624</v>
      </c>
      <c r="O20" s="5" t="n">
        <f aca="false">ABS(K20)/ABS($E20)</f>
        <v>0.0183513289501166</v>
      </c>
      <c r="P20" s="5" t="n">
        <f aca="false">ABS(L20)/ABS($E20)</f>
        <v>0.249665109791006</v>
      </c>
      <c r="Q20" s="5" t="n">
        <f aca="false">ABS(M20)/ABS($E20)</f>
        <v>0.139777937682974</v>
      </c>
    </row>
    <row r="21" customFormat="false" ht="15" hidden="false" customHeight="false" outlineLevel="0" collapsed="false">
      <c r="A21" s="2" t="n">
        <v>4</v>
      </c>
      <c r="B21" s="2" t="n">
        <v>3</v>
      </c>
      <c r="C21" s="2" t="n">
        <v>13.5</v>
      </c>
      <c r="D21" s="2" t="n">
        <v>10.5</v>
      </c>
      <c r="E21" s="13" t="n">
        <v>0.0176290944925553</v>
      </c>
      <c r="F21" s="13" t="n">
        <v>0.0149172412021795</v>
      </c>
      <c r="G21" s="13" t="n">
        <v>0.0156514881916201</v>
      </c>
      <c r="H21" s="13" t="n">
        <v>0.0135650731874443</v>
      </c>
      <c r="I21" s="13" t="n">
        <v>0.0151063672808624</v>
      </c>
      <c r="J21" s="4" t="n">
        <f aca="false">F21-$E21</f>
        <v>-0.0027118532903758</v>
      </c>
      <c r="K21" s="4" t="n">
        <f aca="false">G21-$E21</f>
        <v>-0.00197760630093524</v>
      </c>
      <c r="L21" s="4" t="n">
        <f aca="false">H21-$E21</f>
        <v>-0.00406402130511103</v>
      </c>
      <c r="M21" s="4" t="n">
        <f aca="false">I21-$E21</f>
        <v>-0.00252272721169286</v>
      </c>
      <c r="N21" s="5" t="n">
        <f aca="false">ABS(J21)/ABS($E21)</f>
        <v>0.153828280376</v>
      </c>
      <c r="O21" s="5" t="n">
        <f aca="false">ABS(K21)/ABS($E21)</f>
        <v>0.112178552436166</v>
      </c>
      <c r="P21" s="5" t="n">
        <f aca="false">ABS(L21)/ABS($E21)</f>
        <v>0.230529214465737</v>
      </c>
      <c r="Q21" s="5" t="n">
        <f aca="false">ABS(M21)/ABS($E21)</f>
        <v>0.143100214974638</v>
      </c>
    </row>
    <row r="22" customFormat="false" ht="15" hidden="false" customHeight="false" outlineLevel="0" collapsed="false">
      <c r="A22" s="2" t="n">
        <v>0</v>
      </c>
      <c r="B22" s="2" t="n">
        <v>4</v>
      </c>
      <c r="C22" s="2" t="n">
        <v>1.5</v>
      </c>
      <c r="D22" s="2" t="n">
        <v>13.5</v>
      </c>
      <c r="E22" s="13" t="n">
        <v>0.0717589468565687</v>
      </c>
      <c r="F22" s="13" t="n">
        <v>0.0383075630267293</v>
      </c>
      <c r="G22" s="13" t="n">
        <v>0.148431209562918</v>
      </c>
      <c r="H22" s="13" t="n">
        <v>0.157100638969498</v>
      </c>
      <c r="I22" s="13" t="n">
        <v>0.0418207646993776</v>
      </c>
      <c r="J22" s="4" t="n">
        <f aca="false">F22-$E22</f>
        <v>-0.0334513838298394</v>
      </c>
      <c r="K22" s="4" t="n">
        <f aca="false">G22-$E22</f>
        <v>0.0766722627063493</v>
      </c>
      <c r="L22" s="4" t="n">
        <f aca="false">H22-$E22</f>
        <v>0.0853416921129296</v>
      </c>
      <c r="M22" s="4" t="n">
        <f aca="false">I22-$E22</f>
        <v>-0.0299381821571911</v>
      </c>
      <c r="N22" s="5" t="n">
        <f aca="false">ABS(J22)/ABS($E22)</f>
        <v>0.466163249255899</v>
      </c>
      <c r="O22" s="5" t="n">
        <f aca="false">ABS(K22)/ABS($E22)</f>
        <v>1.06846973185938</v>
      </c>
      <c r="P22" s="5" t="n">
        <f aca="false">ABS(L22)/ABS($E22)</f>
        <v>1.18928295148353</v>
      </c>
      <c r="Q22" s="5" t="n">
        <f aca="false">ABS(M22)/ABS($E22)</f>
        <v>0.4172048708718</v>
      </c>
    </row>
    <row r="23" customFormat="false" ht="15" hidden="false" customHeight="false" outlineLevel="0" collapsed="false">
      <c r="A23" s="2" t="n">
        <v>1</v>
      </c>
      <c r="B23" s="2" t="n">
        <v>4</v>
      </c>
      <c r="C23" s="2" t="n">
        <v>4.5</v>
      </c>
      <c r="D23" s="2" t="n">
        <v>13.5</v>
      </c>
      <c r="E23" s="13" t="n">
        <v>0.0710809232362364</v>
      </c>
      <c r="F23" s="13" t="n">
        <v>0.055071087056189</v>
      </c>
      <c r="G23" s="13" t="n">
        <v>0.0859439167601143</v>
      </c>
      <c r="H23" s="13" t="n">
        <v>0.093293492833805</v>
      </c>
      <c r="I23" s="13" t="n">
        <v>0.059427863284331</v>
      </c>
      <c r="J23" s="4" t="n">
        <f aca="false">F23-$E23</f>
        <v>-0.0160098361800474</v>
      </c>
      <c r="K23" s="4" t="n">
        <f aca="false">G23-$E23</f>
        <v>0.0148629935238779</v>
      </c>
      <c r="L23" s="4" t="n">
        <f aca="false">H23-$E23</f>
        <v>0.0222125695975686</v>
      </c>
      <c r="M23" s="4" t="n">
        <f aca="false">I23-$E23</f>
        <v>-0.0116530599519054</v>
      </c>
      <c r="N23" s="5" t="n">
        <f aca="false">ABS(J23)/ABS($E23)</f>
        <v>0.225233936914957</v>
      </c>
      <c r="O23" s="5" t="n">
        <f aca="false">ABS(K23)/ABS($E23)</f>
        <v>0.209099612767844</v>
      </c>
      <c r="P23" s="5" t="n">
        <f aca="false">ABS(L23)/ABS($E23)</f>
        <v>0.312496920217897</v>
      </c>
      <c r="Q23" s="5" t="n">
        <f aca="false">ABS(M23)/ABS($E23)</f>
        <v>0.163940751207981</v>
      </c>
    </row>
    <row r="24" customFormat="false" ht="15" hidden="false" customHeight="false" outlineLevel="0" collapsed="false">
      <c r="A24" s="2" t="n">
        <v>2</v>
      </c>
      <c r="B24" s="2" t="n">
        <v>4</v>
      </c>
      <c r="C24" s="2" t="n">
        <v>7.5</v>
      </c>
      <c r="D24" s="2" t="n">
        <v>13.5</v>
      </c>
      <c r="E24" s="13" t="n">
        <v>0.043288381657638</v>
      </c>
      <c r="F24" s="13" t="n">
        <v>0.0351113933668437</v>
      </c>
      <c r="G24" s="13" t="n">
        <v>0.038514807426769</v>
      </c>
      <c r="H24" s="13" t="n">
        <v>0.0419868405976136</v>
      </c>
      <c r="I24" s="13" t="n">
        <v>0.0366849093980768</v>
      </c>
      <c r="J24" s="4" t="n">
        <f aca="false">F24-$E24</f>
        <v>-0.00817698829079427</v>
      </c>
      <c r="K24" s="4" t="n">
        <f aca="false">G24-$E24</f>
        <v>-0.00477357423086903</v>
      </c>
      <c r="L24" s="4" t="n">
        <f aca="false">H24-$E24</f>
        <v>-0.0013015410600244</v>
      </c>
      <c r="M24" s="4" t="n">
        <f aca="false">I24-$E24</f>
        <v>-0.0066034722595612</v>
      </c>
      <c r="N24" s="5" t="n">
        <f aca="false">ABS(J24)/ABS($E24)</f>
        <v>0.188895680034079</v>
      </c>
      <c r="O24" s="5" t="n">
        <f aca="false">ABS(K24)/ABS($E24)</f>
        <v>0.110273797450378</v>
      </c>
      <c r="P24" s="5" t="n">
        <f aca="false">ABS(L24)/ABS($E24)</f>
        <v>0.0300667525600313</v>
      </c>
      <c r="Q24" s="5" t="n">
        <f aca="false">ABS(M24)/ABS($E24)</f>
        <v>0.152546064479545</v>
      </c>
    </row>
    <row r="25" customFormat="false" ht="15" hidden="false" customHeight="false" outlineLevel="0" collapsed="false">
      <c r="A25" s="2" t="n">
        <v>3</v>
      </c>
      <c r="B25" s="2" t="n">
        <v>4</v>
      </c>
      <c r="C25" s="2" t="n">
        <v>10.5</v>
      </c>
      <c r="D25" s="2" t="n">
        <v>13.5</v>
      </c>
      <c r="E25" s="13" t="n">
        <v>0.0228666596156409</v>
      </c>
      <c r="F25" s="13" t="n">
        <v>0.0177695276333858</v>
      </c>
      <c r="G25" s="13" t="n">
        <v>0.0153306236460765</v>
      </c>
      <c r="H25" s="13" t="n">
        <v>0.0187413205400062</v>
      </c>
      <c r="I25" s="13" t="n">
        <v>0.0179523536795395</v>
      </c>
      <c r="J25" s="4" t="n">
        <f aca="false">F25-$E25</f>
        <v>-0.00509713198225501</v>
      </c>
      <c r="K25" s="4" t="n">
        <f aca="false">G25-$E25</f>
        <v>-0.00753603596956439</v>
      </c>
      <c r="L25" s="4" t="n">
        <f aca="false">H25-$E25</f>
        <v>-0.00412533907563463</v>
      </c>
      <c r="M25" s="4" t="n">
        <f aca="false">I25-$E25</f>
        <v>-0.00491430593610135</v>
      </c>
      <c r="N25" s="5" t="n">
        <f aca="false">ABS(J25)/ABS($E25)</f>
        <v>0.222906715188455</v>
      </c>
      <c r="O25" s="5" t="n">
        <f aca="false">ABS(K25)/ABS($E25)</f>
        <v>0.329564356851218</v>
      </c>
      <c r="P25" s="5" t="n">
        <f aca="false">ABS(L25)/ABS($E25)</f>
        <v>0.180408470016009</v>
      </c>
      <c r="Q25" s="5" t="n">
        <f aca="false">ABS(M25)/ABS($E25)</f>
        <v>0.21491140458224</v>
      </c>
    </row>
    <row r="26" customFormat="false" ht="15" hidden="false" customHeight="false" outlineLevel="0" collapsed="false">
      <c r="A26" s="2" t="n">
        <v>4</v>
      </c>
      <c r="B26" s="2" t="n">
        <v>4</v>
      </c>
      <c r="C26" s="2" t="n">
        <v>13.5</v>
      </c>
      <c r="D26" s="2" t="n">
        <v>13.5</v>
      </c>
      <c r="E26" s="13" t="n">
        <v>0.00724469557909296</v>
      </c>
      <c r="F26" s="13" t="n">
        <v>0.00568759930300583</v>
      </c>
      <c r="G26" s="13" t="n">
        <v>0.00516284823407231</v>
      </c>
      <c r="H26" s="13" t="n">
        <v>0.00586460227015784</v>
      </c>
      <c r="I26" s="13" t="n">
        <v>0.00568109716757892</v>
      </c>
      <c r="J26" s="4" t="n">
        <f aca="false">F26-$E26</f>
        <v>-0.00155709627608712</v>
      </c>
      <c r="K26" s="4" t="n">
        <f aca="false">G26-$E26</f>
        <v>-0.00208184734502065</v>
      </c>
      <c r="L26" s="4" t="n">
        <f aca="false">H26-$E26</f>
        <v>-0.00138009330893512</v>
      </c>
      <c r="M26" s="4" t="n">
        <f aca="false">I26-$E26</f>
        <v>-0.00156359841151404</v>
      </c>
      <c r="N26" s="5" t="n">
        <f aca="false">ABS(J26)/ABS($E26)</f>
        <v>0.214929151830845</v>
      </c>
      <c r="O26" s="5" t="n">
        <f aca="false">ABS(K26)/ABS($E26)</f>
        <v>0.287361604403162</v>
      </c>
      <c r="P26" s="5" t="n">
        <f aca="false">ABS(L26)/ABS($E26)</f>
        <v>0.190497073875381</v>
      </c>
      <c r="Q26" s="5" t="n">
        <f aca="false">ABS(M26)/ABS($E26)</f>
        <v>0.215826654749489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2026-09-24T11:14:03Z</dcterms:created>
  <dc:creator>openpyxl</dc:creator>
  <dc:description/>
  <dc:language>en-US</dc:language>
  <cp:lastModifiedBy/>
  <dcterms:modified xsi:type="dcterms:W3CDTF">2026-09-24T11:14:03Z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